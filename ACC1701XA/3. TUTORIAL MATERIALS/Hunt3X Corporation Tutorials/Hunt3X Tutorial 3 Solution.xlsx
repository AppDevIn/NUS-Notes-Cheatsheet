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bizhann_nus_edu_sg/Documents/TEACHING/AY2526 S1 ACC1701XA/Tutorial/Hunt3X Tutorial/"/>
    </mc:Choice>
  </mc:AlternateContent>
  <xr:revisionPtr revIDLastSave="3" documentId="8_{82BE3B4A-CEC7-4704-9E96-0260745A09EF}" xr6:coauthVersionLast="47" xr6:coauthVersionMax="47" xr10:uidLastSave="{426BC9B3-D5A4-480F-913C-D1BF966BC8D2}"/>
  <bookViews>
    <workbookView xWindow="28680" yWindow="-120" windowWidth="29040" windowHeight="15720" activeTab="2" xr2:uid="{DDBBB553-5ABA-4D41-B304-DD91129E46E7}"/>
  </bookViews>
  <sheets>
    <sheet name="TB @ 30 Sept 2025" sheetId="14" r:id="rId1"/>
    <sheet name="Tutorial 2 Sol" sheetId="9" r:id="rId2"/>
    <sheet name="Tutorial 3 Sol" sheetId="17" r:id="rId3"/>
    <sheet name="TB @ 31 Dec 2024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9" l="1"/>
  <c r="D5" i="17" l="1"/>
  <c r="D8" i="17"/>
  <c r="F21" i="9" l="1"/>
  <c r="A21" i="9"/>
  <c r="D17" i="17" l="1"/>
  <c r="E18" i="17" s="1"/>
  <c r="B5" i="14"/>
  <c r="B5" i="9" s="1"/>
  <c r="B15" i="14"/>
  <c r="L40" i="9"/>
  <c r="K18" i="9"/>
  <c r="L19" i="9" s="1"/>
  <c r="B12" i="9" s="1"/>
  <c r="Q23" i="9"/>
  <c r="R35" i="9"/>
  <c r="Q35" i="9"/>
  <c r="B13" i="28"/>
  <c r="X7" i="9" s="1"/>
  <c r="S30" i="9"/>
  <c r="Q16" i="9"/>
  <c r="R9" i="9"/>
  <c r="Q9" i="9"/>
  <c r="Q8" i="9"/>
  <c r="Q25" i="9"/>
  <c r="F10" i="9"/>
  <c r="L34" i="9"/>
  <c r="S14" i="9" s="1"/>
  <c r="L25" i="9"/>
  <c r="K15" i="9"/>
  <c r="R16" i="9" s="1"/>
  <c r="L9" i="9"/>
  <c r="S25" i="9" s="1"/>
  <c r="B11" i="28"/>
  <c r="C7" i="28"/>
  <c r="C10" i="28"/>
  <c r="C9" i="28"/>
  <c r="C8" i="28"/>
  <c r="B18" i="14"/>
  <c r="B17" i="14"/>
  <c r="B14" i="14"/>
  <c r="S23" i="9" l="1"/>
  <c r="D21" i="9"/>
  <c r="C15" i="28"/>
  <c r="C11" i="28"/>
  <c r="C14" i="28"/>
  <c r="U25" i="9"/>
  <c r="F12" i="9"/>
  <c r="B11" i="9"/>
  <c r="A10" i="28" l="1"/>
  <c r="A9" i="28"/>
  <c r="A8" i="28"/>
  <c r="A7" i="28"/>
  <c r="A6" i="28"/>
  <c r="A5" i="28"/>
  <c r="A4" i="28"/>
  <c r="A3" i="28"/>
  <c r="P28" i="9" l="1"/>
  <c r="U28" i="9" s="1"/>
  <c r="N28" i="9"/>
  <c r="Q13" i="9"/>
  <c r="P29" i="9" l="1"/>
  <c r="U29" i="9" s="1"/>
  <c r="E27" i="17"/>
  <c r="E12" i="17" l="1"/>
  <c r="E24" i="17"/>
  <c r="Q24" i="9"/>
  <c r="R15" i="9"/>
  <c r="Q15" i="9"/>
  <c r="B20" i="9"/>
  <c r="A20" i="9"/>
  <c r="A19" i="9"/>
  <c r="K41" i="9"/>
  <c r="L37" i="9"/>
  <c r="D20" i="9" s="1"/>
  <c r="S24" i="9" l="1"/>
  <c r="F19" i="9"/>
  <c r="B17" i="9"/>
  <c r="D16" i="9"/>
  <c r="F15" i="9"/>
  <c r="B13" i="9"/>
  <c r="A13" i="9"/>
  <c r="A8" i="9"/>
  <c r="B10" i="9"/>
  <c r="A10" i="9"/>
  <c r="A7" i="9"/>
  <c r="B8" i="9"/>
  <c r="D7" i="9"/>
  <c r="B7" i="9"/>
  <c r="B6" i="9"/>
  <c r="R33" i="9"/>
  <c r="Q33" i="9"/>
  <c r="R21" i="9"/>
  <c r="Q21" i="9"/>
  <c r="R22" i="9"/>
  <c r="Q22" i="9"/>
  <c r="Q12" i="9"/>
  <c r="Q11" i="9"/>
  <c r="R34" i="9"/>
  <c r="Q34" i="9"/>
  <c r="Q17" i="9"/>
  <c r="R10" i="9"/>
  <c r="Q10" i="9"/>
  <c r="R31" i="9"/>
  <c r="S20" i="9"/>
  <c r="Q20" i="9"/>
  <c r="Q30" i="9"/>
  <c r="Q31" i="9" s="1"/>
  <c r="R19" i="9"/>
  <c r="Q19" i="9"/>
  <c r="R7" i="9"/>
  <c r="Q7" i="9"/>
  <c r="R6" i="9"/>
  <c r="Q6" i="9"/>
  <c r="Q27" i="9" s="1"/>
  <c r="O33" i="9"/>
  <c r="P30" i="9"/>
  <c r="P27" i="9"/>
  <c r="P26" i="9"/>
  <c r="P24" i="9"/>
  <c r="P22" i="9"/>
  <c r="O19" i="9"/>
  <c r="N35" i="9"/>
  <c r="N34" i="9"/>
  <c r="N33" i="9"/>
  <c r="N32" i="9"/>
  <c r="N31" i="9"/>
  <c r="N30" i="9"/>
  <c r="N29" i="9"/>
  <c r="N27" i="9"/>
  <c r="N26" i="9"/>
  <c r="N24" i="9"/>
  <c r="N22" i="9"/>
  <c r="N19" i="9"/>
  <c r="N18" i="9"/>
  <c r="N16" i="9"/>
  <c r="O6" i="9"/>
  <c r="N6" i="9"/>
  <c r="O34" i="9"/>
  <c r="D5" i="9"/>
  <c r="O32" i="9"/>
  <c r="O16" i="9"/>
  <c r="D22" i="9" l="1"/>
  <c r="X3" i="9" s="1"/>
  <c r="T32" i="9"/>
  <c r="T19" i="9"/>
  <c r="B20" i="14"/>
  <c r="F5" i="9"/>
  <c r="U24" i="9"/>
  <c r="O31" i="9"/>
  <c r="T31" i="9" s="1"/>
  <c r="U22" i="9"/>
  <c r="O35" i="9"/>
  <c r="T35" i="9" s="1"/>
  <c r="O18" i="9"/>
  <c r="T18" i="9" s="1"/>
  <c r="P37" i="9"/>
  <c r="U26" i="9"/>
  <c r="T21" i="9"/>
  <c r="R37" i="9"/>
  <c r="T33" i="9"/>
  <c r="T34" i="9"/>
  <c r="G5" i="9" l="1"/>
  <c r="O37" i="9"/>
  <c r="E15" i="17" l="1"/>
  <c r="E21" i="17" l="1"/>
  <c r="E9" i="17" l="1"/>
  <c r="E6" i="17"/>
  <c r="E28" i="17" l="1"/>
  <c r="D28" i="17"/>
  <c r="C19" i="14" l="1"/>
  <c r="B19" i="14"/>
  <c r="A6" i="9" l="1"/>
  <c r="A17" i="9" l="1"/>
  <c r="A16" i="9"/>
  <c r="A15" i="9"/>
  <c r="E5" i="9"/>
  <c r="E6" i="9" s="1"/>
  <c r="E7" i="9" s="1"/>
  <c r="E8" i="9" s="1"/>
  <c r="C5" i="9"/>
  <c r="C6" i="9" s="1"/>
  <c r="C7" i="9" s="1"/>
  <c r="C8" i="9" s="1"/>
  <c r="L31" i="9"/>
  <c r="L28" i="9"/>
  <c r="L22" i="9"/>
  <c r="L12" i="9"/>
  <c r="L6" i="9"/>
  <c r="B9" i="9" l="1"/>
  <c r="S8" i="9"/>
  <c r="C10" i="9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9" i="9"/>
  <c r="E10" i="9"/>
  <c r="E12" i="9" s="1"/>
  <c r="E13" i="9" s="1"/>
  <c r="E14" i="9" s="1"/>
  <c r="E15" i="9" s="1"/>
  <c r="E16" i="9" s="1"/>
  <c r="E17" i="9" s="1"/>
  <c r="E18" i="9" s="1"/>
  <c r="E19" i="9" s="1"/>
  <c r="E9" i="9"/>
  <c r="F6" i="9"/>
  <c r="F22" i="9" s="1"/>
  <c r="L41" i="9"/>
  <c r="D24" i="9"/>
  <c r="U30" i="9"/>
  <c r="S17" i="9"/>
  <c r="T16" i="9" s="1"/>
  <c r="B14" i="9"/>
  <c r="S11" i="9"/>
  <c r="B15" i="9"/>
  <c r="S12" i="9"/>
  <c r="B16" i="9"/>
  <c r="S13" i="9"/>
  <c r="B18" i="9"/>
  <c r="S27" i="9"/>
  <c r="B22" i="9" l="1"/>
  <c r="X9" i="9"/>
  <c r="D25" i="9"/>
  <c r="T6" i="9"/>
  <c r="U27" i="9"/>
  <c r="S37" i="9"/>
  <c r="F24" i="9" l="1"/>
  <c r="F25" i="9" s="1"/>
  <c r="B24" i="9"/>
  <c r="B25" i="9" s="1"/>
  <c r="X4" i="9"/>
  <c r="U37" i="9"/>
  <c r="T37" i="9"/>
  <c r="X10" i="9" l="1"/>
  <c r="X11" i="9" s="1"/>
  <c r="X5" i="9"/>
</calcChain>
</file>

<file path=xl/sharedStrings.xml><?xml version="1.0" encoding="utf-8"?>
<sst xmlns="http://schemas.openxmlformats.org/spreadsheetml/2006/main" count="131" uniqueCount="76">
  <si>
    <t>Interest Expense</t>
  </si>
  <si>
    <t>Cash</t>
  </si>
  <si>
    <t>Inventory</t>
  </si>
  <si>
    <t>Cost of Goods Sold</t>
  </si>
  <si>
    <t>Long-term Debt</t>
  </si>
  <si>
    <t>Accounts Payable</t>
  </si>
  <si>
    <t>Assets</t>
  </si>
  <si>
    <t>Total Assets</t>
  </si>
  <si>
    <t>Liabilities</t>
  </si>
  <si>
    <t>Total Liabilities</t>
  </si>
  <si>
    <t>Equity</t>
  </si>
  <si>
    <t>Debit</t>
  </si>
  <si>
    <t>Credit</t>
  </si>
  <si>
    <t>Journal Entries</t>
  </si>
  <si>
    <t>Rent Expense</t>
  </si>
  <si>
    <t>Salaries Expense</t>
  </si>
  <si>
    <t>Prepaid Rent</t>
  </si>
  <si>
    <t>(a)</t>
  </si>
  <si>
    <t>(b)</t>
  </si>
  <si>
    <t xml:space="preserve">(c) </t>
  </si>
  <si>
    <t>(d)</t>
  </si>
  <si>
    <t xml:space="preserve">(e) </t>
  </si>
  <si>
    <t>(g)</t>
  </si>
  <si>
    <t>PART (1)</t>
  </si>
  <si>
    <t>PART (2)</t>
  </si>
  <si>
    <t>PART (4)</t>
  </si>
  <si>
    <t>Debt Ratio</t>
  </si>
  <si>
    <t>Marketing Expense</t>
  </si>
  <si>
    <t>General Admin Expense</t>
  </si>
  <si>
    <t>(f)</t>
  </si>
  <si>
    <t>(h)</t>
  </si>
  <si>
    <t>=</t>
  </si>
  <si>
    <t>+</t>
  </si>
  <si>
    <t>Accounting Equation Effects</t>
  </si>
  <si>
    <t>Accounts Receivable</t>
  </si>
  <si>
    <t>TUTORIAL 2 SOLUTION</t>
  </si>
  <si>
    <t xml:space="preserve">Adjusting / Correcting Journal Entries </t>
  </si>
  <si>
    <t>Interest Payable</t>
  </si>
  <si>
    <t>Depreciation Expense</t>
  </si>
  <si>
    <t>Unearned Revenue</t>
  </si>
  <si>
    <t>Income Tax Expense</t>
  </si>
  <si>
    <t>TUTORIAL 3 SOLUTION</t>
  </si>
  <si>
    <t>Ref</t>
  </si>
  <si>
    <t>Sales Revenue</t>
  </si>
  <si>
    <t>Taxes Payable</t>
  </si>
  <si>
    <t>Total Equity</t>
  </si>
  <si>
    <t>(i)</t>
  </si>
  <si>
    <t>Return on Assets</t>
  </si>
  <si>
    <t>Beginning Total Assets</t>
  </si>
  <si>
    <t>Average Total Assets</t>
  </si>
  <si>
    <t>NI</t>
  </si>
  <si>
    <t xml:space="preserve">Cash </t>
  </si>
  <si>
    <t>Part (3)</t>
  </si>
  <si>
    <t>Trial Balance Worksheet</t>
  </si>
  <si>
    <t>(j)</t>
  </si>
  <si>
    <t>Net Profit</t>
  </si>
  <si>
    <t>Account Name</t>
  </si>
  <si>
    <t>Share Capital - Ordinary Shares</t>
  </si>
  <si>
    <t>Accumulated Depreciation - Equipment</t>
  </si>
  <si>
    <t>Share Capital - Preference Shares (cumulative)</t>
  </si>
  <si>
    <t>Hunt3X Corporation</t>
  </si>
  <si>
    <t>Trial Balance as at 30 September 2025</t>
  </si>
  <si>
    <t>Short Term Notes Payable</t>
  </si>
  <si>
    <t>Retained Earnings  (@ 31 Dec 2024)</t>
  </si>
  <si>
    <t>Account Balances as at 31 Dec 2024</t>
  </si>
  <si>
    <t>@ 30 September 2025</t>
  </si>
  <si>
    <t>@ 31 Dec 2025</t>
  </si>
  <si>
    <t>Transactions (Sept - Dec)</t>
  </si>
  <si>
    <t>Balance @ 31 Dec 2025</t>
  </si>
  <si>
    <t>Balance @ 30 Sept 2025</t>
  </si>
  <si>
    <t>Property Plant and Equipment (PPE)</t>
  </si>
  <si>
    <t>(k)</t>
  </si>
  <si>
    <t>Consulting Fees</t>
  </si>
  <si>
    <t>Consulting Fees Payable</t>
  </si>
  <si>
    <t>Prepaid Salaries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</si>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</sst>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\+#,##0_);\-#,##0"/>
    <numFmt numFmtId="167" formatCode="0.000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center"/>
    </xf>
    <xf numFmtId="0" fontId="0" fillId="2" borderId="6" xfId="0" applyFill="1" applyBorder="1"/>
    <xf numFmtId="0" fontId="0" fillId="2" borderId="10" xfId="0" applyFill="1" applyBorder="1"/>
    <xf numFmtId="0" fontId="1" fillId="3" borderId="0" xfId="0" applyFont="1" applyFill="1"/>
    <xf numFmtId="0" fontId="0" fillId="3" borderId="0" xfId="0" applyFill="1"/>
    <xf numFmtId="0" fontId="0" fillId="2" borderId="15" xfId="0" applyFill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16" fontId="1" fillId="2" borderId="15" xfId="0" applyNumberFormat="1" applyFont="1" applyFill="1" applyBorder="1"/>
    <xf numFmtId="3" fontId="1" fillId="2" borderId="15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/>
    </xf>
    <xf numFmtId="0" fontId="1" fillId="2" borderId="17" xfId="0" applyFont="1" applyFill="1" applyBorder="1"/>
    <xf numFmtId="165" fontId="0" fillId="2" borderId="6" xfId="1" applyNumberFormat="1" applyFont="1" applyFill="1" applyBorder="1" applyAlignment="1">
      <alignment horizontal="center" vertical="top"/>
    </xf>
    <xf numFmtId="165" fontId="0" fillId="2" borderId="12" xfId="1" applyNumberFormat="1" applyFont="1" applyFill="1" applyBorder="1" applyAlignment="1">
      <alignment horizontal="center" vertical="top"/>
    </xf>
    <xf numFmtId="165" fontId="1" fillId="2" borderId="15" xfId="1" applyNumberFormat="1" applyFont="1" applyFill="1" applyBorder="1" applyAlignment="1">
      <alignment horizontal="center" vertical="top"/>
    </xf>
    <xf numFmtId="165" fontId="1" fillId="2" borderId="17" xfId="1" applyNumberFormat="1" applyFont="1" applyFill="1" applyBorder="1" applyAlignment="1">
      <alignment horizontal="center" vertical="top"/>
    </xf>
    <xf numFmtId="0" fontId="1" fillId="2" borderId="0" xfId="0" applyFont="1" applyFill="1"/>
    <xf numFmtId="0" fontId="1" fillId="2" borderId="15" xfId="0" applyFont="1" applyFill="1" applyBorder="1"/>
    <xf numFmtId="0" fontId="1" fillId="2" borderId="2" xfId="0" applyFont="1" applyFill="1" applyBorder="1"/>
    <xf numFmtId="0" fontId="0" fillId="2" borderId="0" xfId="0" applyFill="1" applyAlignment="1">
      <alignment horizontal="center"/>
    </xf>
    <xf numFmtId="0" fontId="0" fillId="2" borderId="7" xfId="0" applyFill="1" applyBorder="1"/>
    <xf numFmtId="16" fontId="1" fillId="2" borderId="6" xfId="0" applyNumberFormat="1" applyFont="1" applyFill="1" applyBorder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1" fillId="2" borderId="7" xfId="0" applyFont="1" applyFill="1" applyBorder="1"/>
    <xf numFmtId="0" fontId="1" fillId="2" borderId="6" xfId="0" applyFont="1" applyFill="1" applyBorder="1"/>
    <xf numFmtId="3" fontId="1" fillId="2" borderId="7" xfId="0" applyNumberFormat="1" applyFont="1" applyFill="1" applyBorder="1"/>
    <xf numFmtId="16" fontId="1" fillId="2" borderId="6" xfId="0" quotePrefix="1" applyNumberFormat="1" applyFont="1" applyFill="1" applyBorder="1"/>
    <xf numFmtId="0" fontId="1" fillId="2" borderId="6" xfId="0" quotePrefix="1" applyFont="1" applyFill="1" applyBorder="1"/>
    <xf numFmtId="165" fontId="1" fillId="2" borderId="14" xfId="1" applyNumberFormat="1" applyFont="1" applyFill="1" applyBorder="1"/>
    <xf numFmtId="165" fontId="1" fillId="2" borderId="16" xfId="1" applyNumberFormat="1" applyFont="1" applyFill="1" applyBorder="1"/>
    <xf numFmtId="0" fontId="0" fillId="2" borderId="8" xfId="0" applyFill="1" applyBorder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" fontId="4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0" fontId="4" fillId="2" borderId="7" xfId="0" applyFont="1" applyFill="1" applyBorder="1"/>
    <xf numFmtId="0" fontId="5" fillId="2" borderId="6" xfId="0" applyFont="1" applyFill="1" applyBorder="1"/>
    <xf numFmtId="3" fontId="0" fillId="2" borderId="7" xfId="0" applyNumberFormat="1" applyFill="1" applyBorder="1"/>
    <xf numFmtId="3" fontId="0" fillId="2" borderId="0" xfId="0" applyNumberFormat="1" applyFill="1"/>
    <xf numFmtId="3" fontId="4" fillId="2" borderId="7" xfId="0" applyNumberFormat="1" applyFont="1" applyFill="1" applyBorder="1"/>
    <xf numFmtId="3" fontId="1" fillId="2" borderId="7" xfId="0" applyNumberFormat="1" applyFont="1" applyFill="1" applyBorder="1" applyAlignment="1">
      <alignment horizontal="center"/>
    </xf>
    <xf numFmtId="0" fontId="4" fillId="2" borderId="0" xfId="0" applyFont="1" applyFill="1"/>
    <xf numFmtId="0" fontId="1" fillId="2" borderId="10" xfId="0" applyFont="1" applyFill="1" applyBorder="1"/>
    <xf numFmtId="165" fontId="1" fillId="2" borderId="15" xfId="1" applyNumberFormat="1" applyFont="1" applyFill="1" applyBorder="1" applyAlignment="1">
      <alignment horizontal="center"/>
    </xf>
    <xf numFmtId="165" fontId="1" fillId="2" borderId="9" xfId="1" applyNumberFormat="1" applyFont="1" applyFill="1" applyBorder="1" applyAlignment="1">
      <alignment horizontal="center"/>
    </xf>
    <xf numFmtId="165" fontId="4" fillId="2" borderId="2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65" fontId="0" fillId="2" borderId="9" xfId="1" applyNumberFormat="1" applyFont="1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/>
    </xf>
    <xf numFmtId="0" fontId="0" fillId="2" borderId="17" xfId="0" applyFill="1" applyBorder="1"/>
    <xf numFmtId="0" fontId="3" fillId="2" borderId="0" xfId="0" applyFont="1" applyFill="1"/>
    <xf numFmtId="37" fontId="0" fillId="2" borderId="9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164" fontId="0" fillId="2" borderId="0" xfId="1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37" fontId="0" fillId="2" borderId="17" xfId="0" applyNumberFormat="1" applyFill="1" applyBorder="1" applyAlignment="1">
      <alignment horizontal="center"/>
    </xf>
    <xf numFmtId="167" fontId="1" fillId="2" borderId="17" xfId="0" applyNumberFormat="1" applyFont="1" applyFill="1" applyBorder="1" applyAlignment="1">
      <alignment horizontal="center"/>
    </xf>
    <xf numFmtId="165" fontId="4" fillId="2" borderId="0" xfId="0" applyNumberFormat="1" applyFont="1" applyFill="1"/>
    <xf numFmtId="165" fontId="0" fillId="2" borderId="0" xfId="0" applyNumberFormat="1" applyFill="1"/>
    <xf numFmtId="0" fontId="0" fillId="2" borderId="9" xfId="0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1" fillId="2" borderId="0" xfId="1" applyNumberFormat="1" applyFont="1" applyFill="1" applyBorder="1"/>
    <xf numFmtId="16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67" fontId="0" fillId="2" borderId="0" xfId="0" applyNumberFormat="1" applyFill="1"/>
    <xf numFmtId="0" fontId="9" fillId="2" borderId="0" xfId="0" applyFont="1" applyFill="1"/>
    <xf numFmtId="168" fontId="9" fillId="2" borderId="0" xfId="0" applyNumberFormat="1" applyFont="1" applyFill="1"/>
    <xf numFmtId="165" fontId="0" fillId="2" borderId="0" xfId="1" applyNumberFormat="1" applyFont="1" applyFill="1"/>
    <xf numFmtId="43" fontId="0" fillId="0" borderId="0" xfId="0" applyNumberFormat="1"/>
    <xf numFmtId="17" fontId="7" fillId="2" borderId="0" xfId="0" applyNumberFormat="1" applyFont="1" applyFill="1"/>
    <xf numFmtId="9" fontId="0" fillId="2" borderId="0" xfId="0" applyNumberFormat="1" applyFill="1"/>
    <xf numFmtId="10" fontId="0" fillId="2" borderId="0" xfId="3" applyNumberFormat="1" applyFont="1" applyFill="1"/>
    <xf numFmtId="2" fontId="0" fillId="2" borderId="0" xfId="0" applyNumberFormat="1" applyFill="1"/>
    <xf numFmtId="168" fontId="7" fillId="2" borderId="0" xfId="0" applyNumberFormat="1" applyFont="1" applyFill="1"/>
    <xf numFmtId="0" fontId="8" fillId="2" borderId="0" xfId="0" applyFont="1" applyFill="1"/>
    <xf numFmtId="166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7" fillId="2" borderId="0" xfId="0" applyFont="1" applyFill="1"/>
    <xf numFmtId="166" fontId="7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5" fontId="1" fillId="2" borderId="15" xfId="0" quotePrefix="1" applyNumberFormat="1" applyFont="1" applyFill="1" applyBorder="1" applyAlignment="1">
      <alignment horizontal="center"/>
    </xf>
    <xf numFmtId="15" fontId="1" fillId="2" borderId="9" xfId="0" quotePrefix="1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4">
    <cellStyle name="Comma" xfId="1" builtinId="3"/>
    <cellStyle name="Comma 2" xfId="2" xr:uid="{96DDEF59-7D93-4FD0-9B97-D05CEA88FC0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1C4-76EE-479E-935D-D5FB8D5049D6}">
  <dimension ref="A1:D20"/>
  <sheetViews>
    <sheetView workbookViewId="0">
      <selection activeCell="G17" sqref="G17"/>
    </sheetView>
  </sheetViews>
  <sheetFormatPr defaultRowHeight="15.65" customHeight="1" x14ac:dyDescent="0.35"/>
  <cols>
    <col min="1" max="1" width="41" customWidth="1"/>
    <col min="2" max="3" width="12.6328125" style="3" customWidth="1"/>
    <col min="4" max="4" width="10.08984375" bestFit="1" customWidth="1"/>
  </cols>
  <sheetData>
    <row r="1" spans="1:4" ht="15.65" customHeight="1" x14ac:dyDescent="0.35">
      <c r="A1" s="105" t="s">
        <v>60</v>
      </c>
      <c r="B1" s="106"/>
      <c r="C1" s="107"/>
    </row>
    <row r="2" spans="1:4" ht="15.65" customHeight="1" x14ac:dyDescent="0.35">
      <c r="A2" s="22" t="s">
        <v>61</v>
      </c>
      <c r="B2" s="9" t="s">
        <v>11</v>
      </c>
      <c r="C2" s="21" t="s">
        <v>12</v>
      </c>
    </row>
    <row r="3" spans="1:4" ht="15.65" customHeight="1" x14ac:dyDescent="0.35">
      <c r="A3" s="4" t="s">
        <v>1</v>
      </c>
      <c r="B3" s="24">
        <v>387216</v>
      </c>
      <c r="C3" s="25"/>
    </row>
    <row r="4" spans="1:4" ht="15.65" customHeight="1" x14ac:dyDescent="0.35">
      <c r="A4" s="4" t="s">
        <v>34</v>
      </c>
      <c r="B4" s="24">
        <v>37100</v>
      </c>
      <c r="C4" s="25"/>
      <c r="D4" s="82"/>
    </row>
    <row r="5" spans="1:4" ht="15.65" customHeight="1" x14ac:dyDescent="0.35">
      <c r="A5" s="4" t="s">
        <v>16</v>
      </c>
      <c r="B5" s="24">
        <f>2200*9</f>
        <v>19800</v>
      </c>
      <c r="C5" s="25"/>
    </row>
    <row r="6" spans="1:4" ht="15.65" customHeight="1" x14ac:dyDescent="0.35">
      <c r="A6" s="4" t="s">
        <v>2</v>
      </c>
      <c r="B6" s="24">
        <v>84000</v>
      </c>
      <c r="C6" s="25"/>
    </row>
    <row r="7" spans="1:4" ht="15.65" customHeight="1" x14ac:dyDescent="0.35">
      <c r="A7" s="4" t="s">
        <v>5</v>
      </c>
      <c r="B7" s="24"/>
      <c r="C7" s="25">
        <v>23400</v>
      </c>
    </row>
    <row r="8" spans="1:4" ht="15.65" customHeight="1" x14ac:dyDescent="0.35">
      <c r="A8" s="4" t="s">
        <v>39</v>
      </c>
      <c r="B8" s="24"/>
      <c r="C8" s="25">
        <v>14500</v>
      </c>
    </row>
    <row r="9" spans="1:4" ht="15.65" customHeight="1" x14ac:dyDescent="0.35">
      <c r="A9" s="4" t="s">
        <v>4</v>
      </c>
      <c r="B9" s="24"/>
      <c r="C9" s="25">
        <v>50000</v>
      </c>
    </row>
    <row r="10" spans="1:4" ht="15.65" customHeight="1" x14ac:dyDescent="0.35">
      <c r="A10" s="4" t="s">
        <v>57</v>
      </c>
      <c r="B10" s="24"/>
      <c r="C10" s="25">
        <v>200000</v>
      </c>
    </row>
    <row r="11" spans="1:4" ht="15.65" customHeight="1" x14ac:dyDescent="0.35">
      <c r="A11" s="4" t="s">
        <v>59</v>
      </c>
      <c r="B11" s="24"/>
      <c r="C11" s="25">
        <v>200000</v>
      </c>
    </row>
    <row r="12" spans="1:4" ht="15.65" customHeight="1" x14ac:dyDescent="0.35">
      <c r="A12" s="4" t="s">
        <v>63</v>
      </c>
      <c r="B12" s="24"/>
      <c r="C12" s="25">
        <v>5230</v>
      </c>
    </row>
    <row r="13" spans="1:4" ht="15.65" customHeight="1" x14ac:dyDescent="0.35">
      <c r="A13" s="4" t="s">
        <v>43</v>
      </c>
      <c r="B13" s="24"/>
      <c r="C13" s="25">
        <v>212300</v>
      </c>
      <c r="D13" s="92"/>
    </row>
    <row r="14" spans="1:4" ht="15.65" customHeight="1" x14ac:dyDescent="0.35">
      <c r="A14" s="4" t="s">
        <v>3</v>
      </c>
      <c r="B14" s="24">
        <f>C13*0.38</f>
        <v>80674</v>
      </c>
      <c r="C14" s="25"/>
    </row>
    <row r="15" spans="1:4" ht="15.65" customHeight="1" x14ac:dyDescent="0.35">
      <c r="A15" s="4" t="s">
        <v>14</v>
      </c>
      <c r="B15" s="25">
        <f>2200*3</f>
        <v>6600</v>
      </c>
      <c r="C15" s="25"/>
    </row>
    <row r="16" spans="1:4" ht="15.65" customHeight="1" x14ac:dyDescent="0.35">
      <c r="A16" s="4" t="s">
        <v>27</v>
      </c>
      <c r="B16" s="25">
        <v>13000</v>
      </c>
      <c r="C16" s="25"/>
    </row>
    <row r="17" spans="1:4" ht="15.65" customHeight="1" x14ac:dyDescent="0.35">
      <c r="A17" s="4" t="s">
        <v>15</v>
      </c>
      <c r="B17" s="25">
        <f>7700*9</f>
        <v>69300</v>
      </c>
      <c r="C17" s="25"/>
    </row>
    <row r="18" spans="1:4" ht="15.65" customHeight="1" x14ac:dyDescent="0.35">
      <c r="A18" s="4" t="s">
        <v>28</v>
      </c>
      <c r="B18" s="24">
        <f>860*9</f>
        <v>7740</v>
      </c>
      <c r="C18" s="25"/>
    </row>
    <row r="19" spans="1:4" ht="15.65" customHeight="1" x14ac:dyDescent="0.35">
      <c r="A19" s="23"/>
      <c r="B19" s="26">
        <f>SUM(B3:B18)</f>
        <v>705430</v>
      </c>
      <c r="C19" s="27">
        <f>SUM(C3:C18)</f>
        <v>705430</v>
      </c>
      <c r="D19" s="82"/>
    </row>
    <row r="20" spans="1:4" ht="15.65" customHeight="1" x14ac:dyDescent="0.35">
      <c r="A20" t="s">
        <v>50</v>
      </c>
      <c r="B20" s="81">
        <f>C13-SUM(B14:B18)</f>
        <v>34986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637-4C65-4024-8200-7F62F4B7791E}">
  <dimension ref="A1:AD42"/>
  <sheetViews>
    <sheetView topLeftCell="J3" zoomScaleNormal="100" workbookViewId="0">
      <selection activeCell="D19" sqref="D19"/>
    </sheetView>
  </sheetViews>
  <sheetFormatPr defaultColWidth="8.90625" defaultRowHeight="14.5" x14ac:dyDescent="0.35"/>
  <cols>
    <col min="1" max="1" width="21.6328125" style="1" customWidth="1"/>
    <col min="2" max="2" width="17.453125" style="31" customWidth="1"/>
    <col min="3" max="3" width="2.36328125" style="31" customWidth="1"/>
    <col min="4" max="4" width="17.453125" style="31" customWidth="1"/>
    <col min="5" max="5" width="2.36328125" style="31" customWidth="1"/>
    <col min="6" max="6" width="17.453125" style="31" customWidth="1"/>
    <col min="7" max="7" width="11.81640625" style="1" bestFit="1" customWidth="1"/>
    <col min="8" max="8" width="5.08984375" style="1" customWidth="1"/>
    <col min="9" max="9" width="5.81640625" style="1" customWidth="1"/>
    <col min="10" max="10" width="26.1796875" style="31" customWidth="1"/>
    <col min="11" max="11" width="15" style="31" customWidth="1"/>
    <col min="12" max="12" width="16.54296875" style="1" customWidth="1"/>
    <col min="13" max="13" width="5.6328125" style="1" customWidth="1"/>
    <col min="14" max="14" width="41.81640625" style="56" customWidth="1"/>
    <col min="15" max="16" width="11" style="1" customWidth="1"/>
    <col min="17" max="17" width="6.36328125" style="1" customWidth="1"/>
    <col min="18" max="21" width="11" style="1" customWidth="1"/>
    <col min="22" max="22" width="6.1796875" style="56" customWidth="1"/>
    <col min="23" max="23" width="19.6328125" style="1" customWidth="1"/>
    <col min="24" max="24" width="13" style="1" customWidth="1"/>
    <col min="25" max="16384" width="8.90625" style="1"/>
  </cols>
  <sheetData>
    <row r="1" spans="1:24" ht="18.5" x14ac:dyDescent="0.45">
      <c r="A1" s="65" t="s">
        <v>35</v>
      </c>
      <c r="H1" s="65"/>
      <c r="I1" s="65"/>
      <c r="N1" s="65"/>
    </row>
    <row r="2" spans="1:24" x14ac:dyDescent="0.35">
      <c r="A2" s="6" t="s">
        <v>23</v>
      </c>
      <c r="B2" s="67"/>
      <c r="C2" s="67"/>
      <c r="D2" s="67"/>
      <c r="E2" s="67"/>
      <c r="F2" s="67"/>
      <c r="H2" s="6" t="s">
        <v>24</v>
      </c>
      <c r="I2" s="6"/>
      <c r="J2" s="67"/>
      <c r="K2" s="67"/>
      <c r="L2" s="7"/>
      <c r="N2" s="6" t="s">
        <v>52</v>
      </c>
      <c r="W2" s="6" t="s">
        <v>25</v>
      </c>
      <c r="X2" s="6"/>
    </row>
    <row r="3" spans="1:24" ht="14.5" customHeight="1" x14ac:dyDescent="0.35">
      <c r="A3" s="29" t="s">
        <v>33</v>
      </c>
      <c r="B3" s="12"/>
      <c r="C3" s="12"/>
      <c r="D3" s="12"/>
      <c r="E3" s="12"/>
      <c r="F3" s="76"/>
      <c r="H3" s="29" t="s">
        <v>13</v>
      </c>
      <c r="I3" s="30"/>
      <c r="J3" s="12"/>
      <c r="K3" s="10" t="s">
        <v>11</v>
      </c>
      <c r="L3" s="11" t="s">
        <v>12</v>
      </c>
      <c r="M3" s="34"/>
      <c r="N3" s="108" t="s">
        <v>53</v>
      </c>
      <c r="O3" s="108"/>
      <c r="P3" s="108"/>
      <c r="Q3" s="108"/>
      <c r="R3" s="108"/>
      <c r="S3" s="108"/>
      <c r="T3" s="108"/>
      <c r="U3" s="108"/>
      <c r="V3" s="68"/>
      <c r="W3" s="64" t="s">
        <v>9</v>
      </c>
      <c r="X3" s="72">
        <f>D22</f>
        <v>116350</v>
      </c>
    </row>
    <row r="4" spans="1:24" x14ac:dyDescent="0.35">
      <c r="A4" s="8"/>
      <c r="B4" s="9" t="s">
        <v>6</v>
      </c>
      <c r="C4" s="10" t="s">
        <v>31</v>
      </c>
      <c r="D4" s="10" t="s">
        <v>8</v>
      </c>
      <c r="E4" s="10" t="s">
        <v>32</v>
      </c>
      <c r="F4" s="11" t="s">
        <v>10</v>
      </c>
      <c r="H4" s="4"/>
      <c r="L4" s="32"/>
      <c r="M4" s="32"/>
      <c r="N4" s="109" t="s">
        <v>56</v>
      </c>
      <c r="O4" s="111" t="s">
        <v>65</v>
      </c>
      <c r="P4" s="112"/>
      <c r="Q4" s="113" t="s">
        <v>67</v>
      </c>
      <c r="R4" s="113"/>
      <c r="S4" s="114"/>
      <c r="T4" s="111" t="s">
        <v>66</v>
      </c>
      <c r="U4" s="112"/>
      <c r="W4" s="64" t="s">
        <v>7</v>
      </c>
      <c r="X4" s="72">
        <f>B22</f>
        <v>831396</v>
      </c>
    </row>
    <row r="5" spans="1:24" x14ac:dyDescent="0.35">
      <c r="A5" s="16" t="s">
        <v>69</v>
      </c>
      <c r="B5" s="17">
        <f>SUM('TB @ 30 Sept 2025'!B3:B6)</f>
        <v>528116</v>
      </c>
      <c r="C5" s="10" t="str">
        <f>C4</f>
        <v>=</v>
      </c>
      <c r="D5" s="18">
        <f>SUM('TB @ 30 Sept 2025'!C7:C9)</f>
        <v>87900</v>
      </c>
      <c r="E5" s="10" t="str">
        <f>E4</f>
        <v>+</v>
      </c>
      <c r="F5" s="19">
        <f>SUM('TB @ 30 Sept 2025'!C10:C18)-SUM('TB @ 30 Sept 2025'!B10:B18)</f>
        <v>440216</v>
      </c>
      <c r="G5" s="69">
        <f>B5-D5-F5</f>
        <v>0</v>
      </c>
      <c r="H5" s="33" t="s">
        <v>17</v>
      </c>
      <c r="I5" s="28" t="s">
        <v>1</v>
      </c>
      <c r="J5" s="34"/>
      <c r="K5" s="35">
        <v>250000</v>
      </c>
      <c r="L5" s="36"/>
      <c r="M5" s="36"/>
      <c r="N5" s="110"/>
      <c r="O5" s="80" t="s">
        <v>11</v>
      </c>
      <c r="P5" s="79" t="s">
        <v>12</v>
      </c>
      <c r="Q5" s="44" t="s">
        <v>42</v>
      </c>
      <c r="R5" s="44" t="s">
        <v>11</v>
      </c>
      <c r="S5" s="45" t="s">
        <v>12</v>
      </c>
      <c r="T5" s="78" t="s">
        <v>11</v>
      </c>
      <c r="U5" s="79" t="s">
        <v>12</v>
      </c>
      <c r="W5" s="23" t="s">
        <v>26</v>
      </c>
      <c r="X5" s="73">
        <f>X3/X4</f>
        <v>0.13994534493791166</v>
      </c>
    </row>
    <row r="6" spans="1:24" x14ac:dyDescent="0.35">
      <c r="A6" s="84" t="str">
        <f>H5</f>
        <v>(a)</v>
      </c>
      <c r="B6" s="13">
        <f>K5</f>
        <v>250000</v>
      </c>
      <c r="C6" s="12" t="str">
        <f t="shared" ref="C6:C21" si="0">C5</f>
        <v>=</v>
      </c>
      <c r="D6" s="14"/>
      <c r="E6" s="12" t="str">
        <f t="shared" ref="E6:E19" si="1">E5</f>
        <v>+</v>
      </c>
      <c r="F6" s="15">
        <f>L6</f>
        <v>250000</v>
      </c>
      <c r="G6" s="69"/>
      <c r="H6" s="37"/>
      <c r="I6" s="28"/>
      <c r="J6" s="28" t="s">
        <v>57</v>
      </c>
      <c r="K6" s="28"/>
      <c r="L6" s="38">
        <f>K5</f>
        <v>250000</v>
      </c>
      <c r="M6" s="35"/>
      <c r="N6" s="37" t="str">
        <f>'TB @ 30 Sept 2025'!A3</f>
        <v>Cash</v>
      </c>
      <c r="O6" s="46">
        <f>'TB @ 30 Sept 2025'!B3</f>
        <v>387216</v>
      </c>
      <c r="P6" s="47"/>
      <c r="Q6" s="48" t="str">
        <f>H5</f>
        <v>(a)</v>
      </c>
      <c r="R6" s="49">
        <f>K5</f>
        <v>250000</v>
      </c>
      <c r="S6" s="50"/>
      <c r="T6" s="35">
        <f>O6+SUM(R6:R15)-SUM(S6:S15)</f>
        <v>359516</v>
      </c>
      <c r="U6" s="36"/>
      <c r="V6" s="49"/>
      <c r="X6" s="31"/>
    </row>
    <row r="7" spans="1:24" x14ac:dyDescent="0.35">
      <c r="A7" s="84" t="str">
        <f>H8</f>
        <v>(b)</v>
      </c>
      <c r="B7" s="13">
        <f>K8</f>
        <v>30000</v>
      </c>
      <c r="C7" s="12" t="str">
        <f t="shared" si="0"/>
        <v>=</v>
      </c>
      <c r="D7" s="14">
        <f>L9</f>
        <v>30000</v>
      </c>
      <c r="E7" s="12" t="str">
        <f t="shared" si="1"/>
        <v>+</v>
      </c>
      <c r="F7" s="15"/>
      <c r="G7" s="69"/>
      <c r="H7" s="37"/>
      <c r="I7" s="28"/>
      <c r="J7" s="28"/>
      <c r="K7" s="28"/>
      <c r="L7" s="36"/>
      <c r="M7" s="28"/>
      <c r="N7" s="51"/>
      <c r="O7" s="37"/>
      <c r="P7" s="36"/>
      <c r="Q7" s="48" t="str">
        <f>H8</f>
        <v>(b)</v>
      </c>
      <c r="R7" s="49">
        <f>K8</f>
        <v>30000</v>
      </c>
      <c r="S7" s="52"/>
      <c r="T7" s="28"/>
      <c r="U7" s="36"/>
      <c r="W7" s="1" t="s">
        <v>48</v>
      </c>
      <c r="X7" s="91">
        <f>'TB @ 31 Dec 2024'!B13</f>
        <v>473830</v>
      </c>
    </row>
    <row r="8" spans="1:24" x14ac:dyDescent="0.35">
      <c r="A8" s="84" t="str">
        <f>H11</f>
        <v xml:space="preserve">(c) </v>
      </c>
      <c r="B8" s="13">
        <f>K11</f>
        <v>65000</v>
      </c>
      <c r="C8" s="12" t="str">
        <f t="shared" si="0"/>
        <v>=</v>
      </c>
      <c r="D8" s="14"/>
      <c r="E8" s="12" t="str">
        <f t="shared" si="1"/>
        <v>+</v>
      </c>
      <c r="F8" s="15"/>
      <c r="G8" s="69"/>
      <c r="H8" s="37" t="s">
        <v>18</v>
      </c>
      <c r="I8" s="28" t="s">
        <v>1</v>
      </c>
      <c r="J8" s="28"/>
      <c r="K8" s="35">
        <v>30000</v>
      </c>
      <c r="L8" s="36"/>
      <c r="M8" s="28"/>
      <c r="N8" s="51"/>
      <c r="O8" s="37"/>
      <c r="P8" s="36"/>
      <c r="Q8" s="48" t="str">
        <f>H11</f>
        <v xml:space="preserve">(c) </v>
      </c>
      <c r="R8" s="49"/>
      <c r="S8" s="52">
        <f>L12</f>
        <v>65000</v>
      </c>
      <c r="T8" s="28"/>
      <c r="U8" s="36"/>
    </row>
    <row r="9" spans="1:24" x14ac:dyDescent="0.35">
      <c r="A9" s="84"/>
      <c r="B9" s="13">
        <f>-L12</f>
        <v>-65000</v>
      </c>
      <c r="C9" s="12" t="str">
        <f t="shared" si="0"/>
        <v>=</v>
      </c>
      <c r="D9" s="14"/>
      <c r="E9" s="12" t="str">
        <f t="shared" si="1"/>
        <v>+</v>
      </c>
      <c r="F9" s="15"/>
      <c r="G9" s="69"/>
      <c r="H9" s="37"/>
      <c r="I9" s="28"/>
      <c r="J9" s="28" t="s">
        <v>62</v>
      </c>
      <c r="K9" s="28"/>
      <c r="L9" s="38">
        <f>K8</f>
        <v>30000</v>
      </c>
      <c r="M9" s="28"/>
      <c r="N9" s="51"/>
      <c r="O9" s="37"/>
      <c r="P9" s="36"/>
      <c r="Q9" s="48" t="str">
        <f>H14</f>
        <v>(d)</v>
      </c>
      <c r="R9" s="49">
        <f>K14</f>
        <v>35000</v>
      </c>
      <c r="S9" s="52"/>
      <c r="T9" s="28"/>
      <c r="U9" s="36"/>
      <c r="V9" s="49"/>
      <c r="W9" s="64" t="s">
        <v>55</v>
      </c>
      <c r="X9" s="72">
        <f>U30-(SUM(T31:T35))</f>
        <v>59816</v>
      </c>
    </row>
    <row r="10" spans="1:24" x14ac:dyDescent="0.35">
      <c r="A10" s="84" t="str">
        <f>H14</f>
        <v>(d)</v>
      </c>
      <c r="B10" s="13">
        <f>K14</f>
        <v>35000</v>
      </c>
      <c r="C10" s="12" t="str">
        <f>C8</f>
        <v>=</v>
      </c>
      <c r="D10" s="14"/>
      <c r="E10" s="12" t="str">
        <f>E8</f>
        <v>+</v>
      </c>
      <c r="F10" s="15">
        <f>L16</f>
        <v>96000</v>
      </c>
      <c r="G10" s="69"/>
      <c r="H10" s="37"/>
      <c r="I10" s="28"/>
      <c r="J10" s="28"/>
      <c r="K10" s="28"/>
      <c r="L10" s="36"/>
      <c r="M10" s="28"/>
      <c r="N10" s="51"/>
      <c r="O10" s="37"/>
      <c r="P10" s="36"/>
      <c r="Q10" s="48" t="str">
        <f>H21</f>
        <v xml:space="preserve">(e) </v>
      </c>
      <c r="R10" s="53">
        <f>K21</f>
        <v>64300</v>
      </c>
      <c r="S10" s="52"/>
      <c r="T10" s="28"/>
      <c r="U10" s="36"/>
      <c r="W10" s="64" t="s">
        <v>49</v>
      </c>
      <c r="X10" s="72">
        <f>(X4+X7)/2</f>
        <v>652613</v>
      </c>
    </row>
    <row r="11" spans="1:24" x14ac:dyDescent="0.35">
      <c r="A11" s="84"/>
      <c r="B11" s="13">
        <f>K15</f>
        <v>61000</v>
      </c>
      <c r="C11" s="12"/>
      <c r="D11" s="14"/>
      <c r="E11" s="12"/>
      <c r="F11" s="15"/>
      <c r="G11" s="69"/>
      <c r="H11" s="39" t="s">
        <v>19</v>
      </c>
      <c r="I11" s="28" t="s">
        <v>2</v>
      </c>
      <c r="J11" s="28"/>
      <c r="K11" s="35">
        <v>65000</v>
      </c>
      <c r="L11" s="36"/>
      <c r="M11" s="28"/>
      <c r="N11" s="51"/>
      <c r="O11" s="37"/>
      <c r="P11" s="36"/>
      <c r="Q11" s="48" t="str">
        <f>H24</f>
        <v>(f)</v>
      </c>
      <c r="S11" s="52">
        <f>L25</f>
        <v>22300</v>
      </c>
      <c r="T11" s="28"/>
      <c r="U11" s="36"/>
      <c r="W11" s="23" t="s">
        <v>47</v>
      </c>
      <c r="X11" s="73">
        <f>X9/X10</f>
        <v>9.1656157630939011E-2</v>
      </c>
    </row>
    <row r="12" spans="1:24" x14ac:dyDescent="0.35">
      <c r="A12" s="85"/>
      <c r="B12" s="13">
        <f>-L19</f>
        <v>-30720</v>
      </c>
      <c r="C12" s="12" t="str">
        <f>C10</f>
        <v>=</v>
      </c>
      <c r="D12" s="14"/>
      <c r="E12" s="12" t="str">
        <f>E10</f>
        <v>+</v>
      </c>
      <c r="F12" s="15">
        <f>-K18</f>
        <v>-30720</v>
      </c>
      <c r="G12" s="69"/>
      <c r="H12" s="37"/>
      <c r="I12" s="28"/>
      <c r="J12" s="28" t="s">
        <v>51</v>
      </c>
      <c r="K12" s="28"/>
      <c r="L12" s="38">
        <f>K11</f>
        <v>65000</v>
      </c>
      <c r="M12" s="35"/>
      <c r="N12" s="51"/>
      <c r="O12" s="37"/>
      <c r="P12" s="36"/>
      <c r="Q12" s="48" t="str">
        <f>H27</f>
        <v>(g)</v>
      </c>
      <c r="S12" s="52">
        <f>L28</f>
        <v>19200</v>
      </c>
      <c r="T12" s="28"/>
      <c r="U12" s="36"/>
      <c r="V12" s="49"/>
    </row>
    <row r="13" spans="1:24" x14ac:dyDescent="0.35">
      <c r="A13" s="85" t="str">
        <f>H21</f>
        <v xml:space="preserve">(e) </v>
      </c>
      <c r="B13" s="13">
        <f>K21</f>
        <v>64300</v>
      </c>
      <c r="C13" s="12" t="str">
        <f t="shared" si="0"/>
        <v>=</v>
      </c>
      <c r="D13" s="14"/>
      <c r="E13" s="12" t="str">
        <f t="shared" si="1"/>
        <v>+</v>
      </c>
      <c r="F13" s="66"/>
      <c r="G13" s="69"/>
      <c r="H13" s="37"/>
      <c r="I13" s="28"/>
      <c r="J13" s="28"/>
      <c r="K13" s="28"/>
      <c r="L13" s="36"/>
      <c r="M13" s="28"/>
      <c r="N13" s="77"/>
      <c r="O13" s="37"/>
      <c r="P13" s="36"/>
      <c r="Q13" s="48" t="str">
        <f>H30</f>
        <v>(h)</v>
      </c>
      <c r="R13" s="53"/>
      <c r="S13" s="52">
        <f>L31</f>
        <v>300000</v>
      </c>
      <c r="T13" s="28"/>
      <c r="U13" s="36"/>
    </row>
    <row r="14" spans="1:24" x14ac:dyDescent="0.35">
      <c r="A14" s="85"/>
      <c r="B14" s="13">
        <f>-L22</f>
        <v>-64300</v>
      </c>
      <c r="C14" s="12" t="str">
        <f t="shared" si="0"/>
        <v>=</v>
      </c>
      <c r="D14" s="14"/>
      <c r="E14" s="12" t="str">
        <f t="shared" si="1"/>
        <v>+</v>
      </c>
      <c r="F14" s="66"/>
      <c r="G14" s="69"/>
      <c r="H14" s="33" t="s">
        <v>20</v>
      </c>
      <c r="I14" s="28" t="s">
        <v>1</v>
      </c>
      <c r="J14" s="28"/>
      <c r="K14" s="35">
        <v>35000</v>
      </c>
      <c r="L14" s="36"/>
      <c r="M14" s="28"/>
      <c r="N14" s="77"/>
      <c r="O14" s="37"/>
      <c r="P14" s="36"/>
      <c r="Q14" s="48" t="str">
        <f>H33</f>
        <v>(i)</v>
      </c>
      <c r="R14" s="53"/>
      <c r="S14" s="52">
        <f>L34</f>
        <v>5500</v>
      </c>
      <c r="T14" s="28"/>
      <c r="U14" s="36"/>
    </row>
    <row r="15" spans="1:24" x14ac:dyDescent="0.35">
      <c r="A15" s="85" t="str">
        <f>H24</f>
        <v>(f)</v>
      </c>
      <c r="B15" s="13">
        <f>-L25</f>
        <v>-22300</v>
      </c>
      <c r="C15" s="12" t="str">
        <f t="shared" si="0"/>
        <v>=</v>
      </c>
      <c r="D15" s="14"/>
      <c r="E15" s="12" t="str">
        <f t="shared" si="1"/>
        <v>+</v>
      </c>
      <c r="F15" s="15">
        <f>-K24</f>
        <v>-22300</v>
      </c>
      <c r="G15" s="69"/>
      <c r="H15" s="37"/>
      <c r="I15" s="28" t="s">
        <v>34</v>
      </c>
      <c r="J15" s="28"/>
      <c r="K15" s="35">
        <f>L16-K14</f>
        <v>61000</v>
      </c>
      <c r="L15" s="38"/>
      <c r="M15" s="35"/>
      <c r="N15" s="51"/>
      <c r="O15" s="37"/>
      <c r="P15" s="36"/>
      <c r="Q15" s="48" t="str">
        <f>H36</f>
        <v>(j)</v>
      </c>
      <c r="R15" s="53">
        <f>K36</f>
        <v>5000</v>
      </c>
      <c r="S15" s="52"/>
      <c r="T15" s="28"/>
      <c r="U15" s="36"/>
      <c r="V15" s="49"/>
    </row>
    <row r="16" spans="1:24" x14ac:dyDescent="0.35">
      <c r="A16" s="85" t="str">
        <f>H27</f>
        <v>(g)</v>
      </c>
      <c r="B16" s="13">
        <f>-L28</f>
        <v>-19200</v>
      </c>
      <c r="C16" s="12" t="str">
        <f t="shared" si="0"/>
        <v>=</v>
      </c>
      <c r="D16" s="14">
        <f>-K27</f>
        <v>-19200</v>
      </c>
      <c r="E16" s="12" t="str">
        <f t="shared" si="1"/>
        <v>+</v>
      </c>
      <c r="F16" s="66"/>
      <c r="G16" s="69"/>
      <c r="H16" s="37"/>
      <c r="I16" s="28"/>
      <c r="J16" s="28" t="s">
        <v>43</v>
      </c>
      <c r="K16" s="28"/>
      <c r="L16" s="38">
        <v>96000</v>
      </c>
      <c r="M16" s="28"/>
      <c r="N16" s="37" t="str">
        <f>'TB @ 30 Sept 2025'!A4</f>
        <v>Accounts Receivable</v>
      </c>
      <c r="O16" s="46">
        <f>'TB @ 30 Sept 2025'!B4</f>
        <v>37100</v>
      </c>
      <c r="P16" s="47"/>
      <c r="Q16" s="48" t="str">
        <f>H14</f>
        <v>(d)</v>
      </c>
      <c r="R16" s="49">
        <f>K15</f>
        <v>61000</v>
      </c>
      <c r="S16" s="54"/>
      <c r="T16" s="35">
        <f>O16+SUM(R16:R17)-SUM(S16:S17)</f>
        <v>33800</v>
      </c>
      <c r="U16" s="36"/>
      <c r="V16" s="49"/>
    </row>
    <row r="17" spans="1:30" x14ac:dyDescent="0.35">
      <c r="A17" s="85" t="str">
        <f>H30</f>
        <v>(h)</v>
      </c>
      <c r="B17" s="13">
        <f>K30</f>
        <v>300000</v>
      </c>
      <c r="C17" s="12" t="str">
        <f t="shared" si="0"/>
        <v>=</v>
      </c>
      <c r="D17" s="14"/>
      <c r="E17" s="12" t="str">
        <f t="shared" si="1"/>
        <v>+</v>
      </c>
      <c r="F17" s="66"/>
      <c r="G17" s="69"/>
      <c r="H17" s="37"/>
      <c r="I17" s="28"/>
      <c r="J17" s="28"/>
      <c r="K17" s="28"/>
      <c r="L17" s="36"/>
      <c r="M17" s="28"/>
      <c r="N17" s="37"/>
      <c r="O17" s="46"/>
      <c r="P17" s="47"/>
      <c r="Q17" s="48" t="str">
        <f>H21</f>
        <v xml:space="preserve">(e) </v>
      </c>
      <c r="R17" s="49"/>
      <c r="S17" s="54">
        <f>L22</f>
        <v>64300</v>
      </c>
      <c r="T17" s="35"/>
      <c r="U17" s="36"/>
      <c r="V17" s="49"/>
      <c r="W17" s="89"/>
    </row>
    <row r="18" spans="1:30" x14ac:dyDescent="0.35">
      <c r="A18" s="85"/>
      <c r="B18" s="13">
        <f>-L31</f>
        <v>-300000</v>
      </c>
      <c r="C18" s="12" t="str">
        <f t="shared" si="0"/>
        <v>=</v>
      </c>
      <c r="D18" s="14"/>
      <c r="E18" s="12" t="str">
        <f t="shared" si="1"/>
        <v>+</v>
      </c>
      <c r="F18" s="66"/>
      <c r="G18" s="69"/>
      <c r="H18" s="39"/>
      <c r="I18" s="28" t="s">
        <v>3</v>
      </c>
      <c r="J18" s="28"/>
      <c r="K18" s="35">
        <f>L16*0.32</f>
        <v>30720</v>
      </c>
      <c r="L18" s="36"/>
      <c r="M18" s="35"/>
      <c r="N18" s="37" t="str">
        <f>'TB @ 30 Sept 2025'!A5</f>
        <v>Prepaid Rent</v>
      </c>
      <c r="O18" s="46">
        <f>'TB @ 30 Sept 2025'!B5</f>
        <v>19800</v>
      </c>
      <c r="P18" s="47"/>
      <c r="Q18" s="48"/>
      <c r="R18" s="49"/>
      <c r="S18" s="54"/>
      <c r="T18" s="35">
        <f>O18+R18-S18</f>
        <v>19800</v>
      </c>
      <c r="U18" s="36"/>
      <c r="W18" s="89"/>
      <c r="AD18" s="53"/>
    </row>
    <row r="19" spans="1:30" x14ac:dyDescent="0.35">
      <c r="A19" s="85" t="str">
        <f>H33</f>
        <v>(i)</v>
      </c>
      <c r="B19" s="13">
        <v>-5500</v>
      </c>
      <c r="C19" s="12" t="str">
        <f t="shared" si="0"/>
        <v>=</v>
      </c>
      <c r="D19" s="14"/>
      <c r="E19" s="12" t="str">
        <f t="shared" si="1"/>
        <v>+</v>
      </c>
      <c r="F19" s="15">
        <f>-K33</f>
        <v>-5500</v>
      </c>
      <c r="G19" s="69"/>
      <c r="H19" s="37"/>
      <c r="I19" s="28"/>
      <c r="J19" s="28" t="s">
        <v>2</v>
      </c>
      <c r="K19" s="28"/>
      <c r="L19" s="38">
        <f>K18</f>
        <v>30720</v>
      </c>
      <c r="M19" s="35"/>
      <c r="N19" s="37" t="str">
        <f>'TB @ 30 Sept 2025'!A6</f>
        <v>Inventory</v>
      </c>
      <c r="O19" s="46">
        <f>'TB @ 30 Sept 2025'!B6</f>
        <v>84000</v>
      </c>
      <c r="P19" s="47"/>
      <c r="Q19" s="48" t="str">
        <f>H11</f>
        <v xml:space="preserve">(c) </v>
      </c>
      <c r="R19" s="49">
        <f>K11</f>
        <v>65000</v>
      </c>
      <c r="S19" s="54"/>
      <c r="T19" s="35">
        <f>O19+SUM(R19:R20)-SUM(S19:S20)</f>
        <v>118280</v>
      </c>
      <c r="U19" s="38"/>
      <c r="W19" s="90"/>
    </row>
    <row r="20" spans="1:30" x14ac:dyDescent="0.35">
      <c r="A20" s="87" t="str">
        <f>H36</f>
        <v>(j)</v>
      </c>
      <c r="B20" s="13">
        <f>K36</f>
        <v>5000</v>
      </c>
      <c r="C20" s="12" t="str">
        <f t="shared" si="0"/>
        <v>=</v>
      </c>
      <c r="D20" s="14">
        <f>L37</f>
        <v>5000</v>
      </c>
      <c r="E20" s="12"/>
      <c r="F20" s="15"/>
      <c r="H20" s="37"/>
      <c r="I20" s="28"/>
      <c r="J20" s="28"/>
      <c r="K20" s="28"/>
      <c r="L20" s="38"/>
      <c r="M20" s="35"/>
      <c r="N20" s="37"/>
      <c r="O20" s="46"/>
      <c r="P20" s="47"/>
      <c r="Q20" s="48" t="str">
        <f>H14</f>
        <v>(d)</v>
      </c>
      <c r="R20" s="49"/>
      <c r="S20" s="54">
        <f>L19</f>
        <v>30720</v>
      </c>
      <c r="T20" s="35"/>
      <c r="U20" s="38"/>
      <c r="V20" s="49"/>
      <c r="W20" s="97"/>
      <c r="AA20" s="53"/>
    </row>
    <row r="21" spans="1:30" x14ac:dyDescent="0.35">
      <c r="A21" s="87" t="str">
        <f>H39</f>
        <v>(k)</v>
      </c>
      <c r="B21" s="13"/>
      <c r="C21" s="12" t="str">
        <f t="shared" si="0"/>
        <v>=</v>
      </c>
      <c r="D21" s="14">
        <f>L40</f>
        <v>12650</v>
      </c>
      <c r="E21" s="12"/>
      <c r="F21" s="15">
        <f>-K39</f>
        <v>-12650</v>
      </c>
      <c r="H21" s="37" t="s">
        <v>21</v>
      </c>
      <c r="I21" s="28" t="s">
        <v>1</v>
      </c>
      <c r="J21" s="28"/>
      <c r="K21" s="35">
        <v>64300</v>
      </c>
      <c r="L21" s="38"/>
      <c r="M21" s="35"/>
      <c r="N21" s="37" t="s">
        <v>70</v>
      </c>
      <c r="O21" s="46">
        <v>0</v>
      </c>
      <c r="P21" s="47"/>
      <c r="Q21" s="48" t="str">
        <f>H30</f>
        <v>(h)</v>
      </c>
      <c r="R21" s="49">
        <f>K30</f>
        <v>300000</v>
      </c>
      <c r="S21" s="50"/>
      <c r="T21" s="35">
        <f>O21+R21-S21</f>
        <v>300000</v>
      </c>
      <c r="U21" s="36"/>
      <c r="W21" s="89"/>
    </row>
    <row r="22" spans="1:30" x14ac:dyDescent="0.35">
      <c r="A22" s="20" t="s">
        <v>68</v>
      </c>
      <c r="B22" s="17">
        <f>SUM(B5:B21)</f>
        <v>831396</v>
      </c>
      <c r="C22" s="86" t="s">
        <v>31</v>
      </c>
      <c r="D22" s="18">
        <f>SUM(D5:D21)</f>
        <v>116350</v>
      </c>
      <c r="E22" s="86" t="s">
        <v>32</v>
      </c>
      <c r="F22" s="19">
        <f>SUM(F5:F21)</f>
        <v>715046</v>
      </c>
      <c r="G22" s="103"/>
      <c r="H22" s="37"/>
      <c r="I22" s="28"/>
      <c r="J22" s="28" t="s">
        <v>34</v>
      </c>
      <c r="K22" s="28"/>
      <c r="L22" s="38">
        <f>K21</f>
        <v>64300</v>
      </c>
      <c r="M22" s="28"/>
      <c r="N22" s="37" t="str">
        <f>'TB @ 30 Sept 2025'!A7</f>
        <v>Accounts Payable</v>
      </c>
      <c r="O22" s="46"/>
      <c r="P22" s="55">
        <f>'TB @ 30 Sept 2025'!C7</f>
        <v>23400</v>
      </c>
      <c r="Q22" s="48" t="str">
        <f>H27</f>
        <v>(g)</v>
      </c>
      <c r="R22" s="49">
        <f>K27</f>
        <v>19200</v>
      </c>
      <c r="S22" s="54"/>
      <c r="T22" s="35"/>
      <c r="U22" s="38">
        <f>P22+SUM(S22:S23)-SUM(R22:R23)</f>
        <v>16850</v>
      </c>
      <c r="W22" s="89"/>
    </row>
    <row r="23" spans="1:30" x14ac:dyDescent="0.35">
      <c r="A23" s="70"/>
      <c r="H23" s="33"/>
      <c r="I23" s="28"/>
      <c r="J23" s="28"/>
      <c r="K23" s="35"/>
      <c r="L23" s="36"/>
      <c r="M23" s="35"/>
      <c r="N23" s="37"/>
      <c r="O23" s="46"/>
      <c r="P23" s="55"/>
      <c r="Q23" s="48" t="str">
        <f>H39</f>
        <v>(k)</v>
      </c>
      <c r="R23" s="49"/>
      <c r="S23" s="54">
        <f>L40</f>
        <v>12650</v>
      </c>
      <c r="T23" s="28"/>
      <c r="U23" s="38"/>
      <c r="V23" s="49"/>
      <c r="W23" s="89"/>
    </row>
    <row r="24" spans="1:30" x14ac:dyDescent="0.35">
      <c r="A24" s="98" t="s">
        <v>75</v>
      </c>
      <c r="B24" s="99">
        <f>SUM(T6:T21)</f>
        <v>831396</v>
      </c>
      <c r="C24" s="100"/>
      <c r="D24" s="99">
        <f>SUM(U22:U26)</f>
        <v>116350</v>
      </c>
      <c r="E24" s="100"/>
      <c r="F24" s="99">
        <f>SUM(U27:U36)-SUM(T27:T36)</f>
        <v>715046</v>
      </c>
      <c r="H24" s="40" t="s">
        <v>29</v>
      </c>
      <c r="I24" s="28" t="s">
        <v>15</v>
      </c>
      <c r="J24" s="28"/>
      <c r="K24" s="35">
        <v>22300</v>
      </c>
      <c r="L24" s="38"/>
      <c r="M24" s="35"/>
      <c r="N24" s="37" t="str">
        <f>'TB @ 30 Sept 2025'!A8</f>
        <v>Unearned Revenue</v>
      </c>
      <c r="O24" s="46"/>
      <c r="P24" s="55">
        <f>'TB @ 30 Sept 2025'!C8</f>
        <v>14500</v>
      </c>
      <c r="Q24" s="48" t="str">
        <f>H36</f>
        <v>(j)</v>
      </c>
      <c r="R24" s="49"/>
      <c r="S24" s="54">
        <f>L37</f>
        <v>5000</v>
      </c>
      <c r="T24" s="28"/>
      <c r="U24" s="38">
        <f t="shared" ref="U24:U30" si="2">P24+S24-R24</f>
        <v>19500</v>
      </c>
      <c r="W24" s="89"/>
    </row>
    <row r="25" spans="1:30" x14ac:dyDescent="0.35">
      <c r="A25" s="101"/>
      <c r="B25" s="99">
        <f>B22-B24</f>
        <v>0</v>
      </c>
      <c r="C25" s="101"/>
      <c r="D25" s="99">
        <f>D22-D24</f>
        <v>0</v>
      </c>
      <c r="E25" s="102"/>
      <c r="F25" s="99">
        <f>F22-F24</f>
        <v>0</v>
      </c>
      <c r="H25" s="37"/>
      <c r="I25" s="28"/>
      <c r="J25" s="28" t="s">
        <v>1</v>
      </c>
      <c r="K25" s="28"/>
      <c r="L25" s="38">
        <f>K24</f>
        <v>22300</v>
      </c>
      <c r="M25" s="28"/>
      <c r="N25" s="37" t="s">
        <v>62</v>
      </c>
      <c r="O25" s="46"/>
      <c r="P25" s="55">
        <v>0</v>
      </c>
      <c r="Q25" s="48" t="str">
        <f>H8</f>
        <v>(b)</v>
      </c>
      <c r="R25" s="49"/>
      <c r="S25" s="54">
        <f>L9</f>
        <v>30000</v>
      </c>
      <c r="T25" s="28"/>
      <c r="U25" s="38">
        <f t="shared" si="2"/>
        <v>30000</v>
      </c>
      <c r="W25" s="93"/>
      <c r="X25" s="94"/>
      <c r="Y25" s="88"/>
    </row>
    <row r="26" spans="1:30" x14ac:dyDescent="0.35">
      <c r="D26" s="71"/>
      <c r="E26" s="71"/>
      <c r="F26" s="71"/>
      <c r="H26" s="33"/>
      <c r="I26" s="28"/>
      <c r="J26" s="28"/>
      <c r="K26" s="28"/>
      <c r="L26" s="36"/>
      <c r="M26" s="35"/>
      <c r="N26" s="37" t="str">
        <f>'TB @ 30 Sept 2025'!A9</f>
        <v>Long-term Debt</v>
      </c>
      <c r="O26" s="46"/>
      <c r="P26" s="55">
        <f>'TB @ 30 Sept 2025'!C9</f>
        <v>50000</v>
      </c>
      <c r="Q26" s="48"/>
      <c r="R26" s="56"/>
      <c r="S26" s="54"/>
      <c r="T26" s="35"/>
      <c r="U26" s="38">
        <f t="shared" si="2"/>
        <v>50000</v>
      </c>
      <c r="W26" s="93"/>
      <c r="Y26" s="96"/>
      <c r="AA26" s="95"/>
    </row>
    <row r="27" spans="1:30" x14ac:dyDescent="0.35">
      <c r="H27" s="37" t="s">
        <v>22</v>
      </c>
      <c r="I27" s="28" t="s">
        <v>5</v>
      </c>
      <c r="J27" s="28"/>
      <c r="K27" s="35">
        <v>19200</v>
      </c>
      <c r="L27" s="38"/>
      <c r="M27" s="35"/>
      <c r="N27" s="37" t="str">
        <f>'TB @ 30 Sept 2025'!A10</f>
        <v>Share Capital - Ordinary Shares</v>
      </c>
      <c r="O27" s="46"/>
      <c r="P27" s="55">
        <f>'TB @ 30 Sept 2025'!C10</f>
        <v>200000</v>
      </c>
      <c r="Q27" s="48" t="str">
        <f>Q6</f>
        <v>(a)</v>
      </c>
      <c r="R27" s="56"/>
      <c r="S27" s="54">
        <f>L6</f>
        <v>250000</v>
      </c>
      <c r="T27" s="28"/>
      <c r="U27" s="38">
        <f t="shared" si="2"/>
        <v>450000</v>
      </c>
      <c r="W27" s="89"/>
    </row>
    <row r="28" spans="1:30" x14ac:dyDescent="0.35">
      <c r="H28" s="37"/>
      <c r="I28" s="28"/>
      <c r="J28" s="28" t="s">
        <v>1</v>
      </c>
      <c r="K28" s="28"/>
      <c r="L28" s="38">
        <f>K27</f>
        <v>19200</v>
      </c>
      <c r="M28" s="28"/>
      <c r="N28" s="37" t="str">
        <f>'TB @ 30 Sept 2025'!A11</f>
        <v>Share Capital - Preference Shares (cumulative)</v>
      </c>
      <c r="O28" s="46"/>
      <c r="P28" s="55">
        <f>'TB @ 30 Sept 2025'!C11</f>
        <v>200000</v>
      </c>
      <c r="Q28" s="48"/>
      <c r="R28" s="56"/>
      <c r="S28" s="54"/>
      <c r="T28" s="28"/>
      <c r="U28" s="38">
        <f t="shared" si="2"/>
        <v>200000</v>
      </c>
    </row>
    <row r="29" spans="1:30" x14ac:dyDescent="0.35">
      <c r="H29" s="33"/>
      <c r="I29" s="28"/>
      <c r="J29" s="28"/>
      <c r="K29" s="35"/>
      <c r="L29" s="36"/>
      <c r="M29" s="35"/>
      <c r="N29" s="37" t="str">
        <f>'TB @ 30 Sept 2025'!A12</f>
        <v>Retained Earnings  (@ 31 Dec 2024)</v>
      </c>
      <c r="O29" s="46"/>
      <c r="P29" s="55">
        <f>'TB @ 30 Sept 2025'!C12</f>
        <v>5230</v>
      </c>
      <c r="Q29" s="48"/>
      <c r="R29" s="56"/>
      <c r="S29" s="50"/>
      <c r="T29" s="35"/>
      <c r="U29" s="38">
        <f t="shared" si="2"/>
        <v>5230</v>
      </c>
    </row>
    <row r="30" spans="1:30" x14ac:dyDescent="0.35">
      <c r="H30" s="37" t="s">
        <v>30</v>
      </c>
      <c r="I30" s="28" t="s">
        <v>70</v>
      </c>
      <c r="J30" s="28"/>
      <c r="K30" s="35">
        <v>300000</v>
      </c>
      <c r="L30" s="38"/>
      <c r="M30" s="35"/>
      <c r="N30" s="37" t="str">
        <f>'TB @ 30 Sept 2025'!A13</f>
        <v>Sales Revenue</v>
      </c>
      <c r="O30" s="46"/>
      <c r="P30" s="55">
        <f>'TB @ 30 Sept 2025'!C13</f>
        <v>212300</v>
      </c>
      <c r="Q30" s="48" t="str">
        <f>Q16</f>
        <v>(d)</v>
      </c>
      <c r="R30" s="56"/>
      <c r="S30" s="54">
        <f>L16</f>
        <v>96000</v>
      </c>
      <c r="T30" s="28"/>
      <c r="U30" s="38">
        <f t="shared" si="2"/>
        <v>308300</v>
      </c>
    </row>
    <row r="31" spans="1:30" x14ac:dyDescent="0.35">
      <c r="H31" s="37"/>
      <c r="I31" s="28"/>
      <c r="J31" s="28" t="s">
        <v>1</v>
      </c>
      <c r="K31" s="28"/>
      <c r="L31" s="38">
        <f>K30</f>
        <v>300000</v>
      </c>
      <c r="M31" s="28"/>
      <c r="N31" s="37" t="str">
        <f>'TB @ 30 Sept 2025'!A14</f>
        <v>Cost of Goods Sold</v>
      </c>
      <c r="O31" s="46">
        <f>'TB @ 30 Sept 2025'!B14</f>
        <v>80674</v>
      </c>
      <c r="P31" s="47"/>
      <c r="Q31" s="48" t="str">
        <f>Q30</f>
        <v>(d)</v>
      </c>
      <c r="R31" s="49">
        <f>K18</f>
        <v>30720</v>
      </c>
      <c r="S31" s="50"/>
      <c r="T31" s="35">
        <f>O31+R31-S31</f>
        <v>111394</v>
      </c>
      <c r="U31" s="38"/>
      <c r="W31" s="53"/>
    </row>
    <row r="32" spans="1:30" x14ac:dyDescent="0.35">
      <c r="H32" s="33"/>
      <c r="I32" s="28"/>
      <c r="J32" s="28"/>
      <c r="K32" s="35"/>
      <c r="L32" s="36"/>
      <c r="M32" s="35"/>
      <c r="N32" s="37" t="str">
        <f>'TB @ 30 Sept 2025'!A15</f>
        <v>Rent Expense</v>
      </c>
      <c r="O32" s="46">
        <f>'TB @ 30 Sept 2025'!B15</f>
        <v>6600</v>
      </c>
      <c r="P32" s="55"/>
      <c r="Q32" s="48"/>
      <c r="R32" s="49"/>
      <c r="S32" s="50"/>
      <c r="T32" s="35">
        <f>O32+R32-S32</f>
        <v>6600</v>
      </c>
      <c r="U32" s="38"/>
      <c r="V32" s="49"/>
    </row>
    <row r="33" spans="8:22" x14ac:dyDescent="0.35">
      <c r="H33" s="37" t="s">
        <v>46</v>
      </c>
      <c r="I33" s="28" t="s">
        <v>27</v>
      </c>
      <c r="J33" s="28"/>
      <c r="K33" s="35">
        <v>5500</v>
      </c>
      <c r="L33" s="38"/>
      <c r="M33" s="28"/>
      <c r="N33" s="37" t="str">
        <f>'TB @ 30 Sept 2025'!A16</f>
        <v>Marketing Expense</v>
      </c>
      <c r="O33" s="46">
        <f>'TB @ 30 Sept 2025'!B16</f>
        <v>13000</v>
      </c>
      <c r="P33" s="47"/>
      <c r="Q33" s="48" t="str">
        <f>H33</f>
        <v>(i)</v>
      </c>
      <c r="R33" s="49">
        <f>K33</f>
        <v>5500</v>
      </c>
      <c r="S33" s="50"/>
      <c r="T33" s="35">
        <f>O33+R33-S33</f>
        <v>18500</v>
      </c>
      <c r="U33" s="38"/>
    </row>
    <row r="34" spans="8:22" x14ac:dyDescent="0.35">
      <c r="H34" s="4"/>
      <c r="J34" s="28" t="s">
        <v>1</v>
      </c>
      <c r="L34" s="38">
        <f>K33</f>
        <v>5500</v>
      </c>
      <c r="N34" s="37" t="str">
        <f>'TB @ 30 Sept 2025'!A17</f>
        <v>Salaries Expense</v>
      </c>
      <c r="O34" s="46">
        <f>'TB @ 30 Sept 2025'!B17</f>
        <v>69300</v>
      </c>
      <c r="P34" s="47"/>
      <c r="Q34" s="48" t="str">
        <f>H24</f>
        <v>(f)</v>
      </c>
      <c r="R34" s="49">
        <f>K24</f>
        <v>22300</v>
      </c>
      <c r="S34" s="50"/>
      <c r="T34" s="35">
        <f>O34+R34-S34</f>
        <v>91600</v>
      </c>
      <c r="U34" s="38"/>
    </row>
    <row r="35" spans="8:22" x14ac:dyDescent="0.35">
      <c r="H35" s="4"/>
      <c r="J35" s="28"/>
      <c r="L35" s="38"/>
      <c r="M35" s="83"/>
      <c r="N35" s="37" t="str">
        <f>'TB @ 30 Sept 2025'!A18</f>
        <v>General Admin Expense</v>
      </c>
      <c r="O35" s="46">
        <f>'TB @ 30 Sept 2025'!B18</f>
        <v>7740</v>
      </c>
      <c r="P35" s="47"/>
      <c r="Q35" s="48" t="str">
        <f>H39</f>
        <v>(k)</v>
      </c>
      <c r="R35" s="49">
        <f>K39</f>
        <v>12650</v>
      </c>
      <c r="S35" s="50"/>
      <c r="T35" s="35">
        <f>O35+R35-S35</f>
        <v>20390</v>
      </c>
      <c r="U35" s="38"/>
      <c r="V35" s="49"/>
    </row>
    <row r="36" spans="8:22" x14ac:dyDescent="0.35">
      <c r="H36" s="37" t="s">
        <v>54</v>
      </c>
      <c r="I36" s="28" t="s">
        <v>51</v>
      </c>
      <c r="J36" s="28"/>
      <c r="K36" s="35">
        <v>5000</v>
      </c>
      <c r="L36" s="38"/>
      <c r="N36" s="37"/>
      <c r="O36" s="46"/>
      <c r="P36" s="47"/>
      <c r="Q36" s="48"/>
      <c r="R36" s="56"/>
      <c r="S36" s="50"/>
      <c r="T36" s="35"/>
      <c r="U36" s="38"/>
    </row>
    <row r="37" spans="8:22" x14ac:dyDescent="0.35">
      <c r="H37" s="4"/>
      <c r="J37" s="28" t="s">
        <v>39</v>
      </c>
      <c r="K37" s="28"/>
      <c r="L37" s="38">
        <f>K36</f>
        <v>5000</v>
      </c>
      <c r="N37" s="57"/>
      <c r="O37" s="58">
        <f>SUM(O6:O36)</f>
        <v>705430</v>
      </c>
      <c r="P37" s="59">
        <f>SUM(P6:P36)</f>
        <v>705430</v>
      </c>
      <c r="Q37" s="60"/>
      <c r="R37" s="61">
        <f>SUM(R6:R36)</f>
        <v>900670</v>
      </c>
      <c r="S37" s="62">
        <f>SUM(S6:S36)</f>
        <v>900670</v>
      </c>
      <c r="T37" s="63">
        <f>SUM(T6:T36)</f>
        <v>1079880</v>
      </c>
      <c r="U37" s="59">
        <f>SUM(U6:U36)</f>
        <v>1079880</v>
      </c>
    </row>
    <row r="38" spans="8:22" x14ac:dyDescent="0.35">
      <c r="H38" s="4"/>
      <c r="J38" s="28"/>
      <c r="K38" s="28"/>
      <c r="L38" s="38"/>
      <c r="P38" s="74"/>
      <c r="S38" s="75"/>
      <c r="T38" s="75"/>
      <c r="U38" s="74"/>
      <c r="V38" s="49"/>
    </row>
    <row r="39" spans="8:22" x14ac:dyDescent="0.35">
      <c r="H39" s="37" t="s">
        <v>71</v>
      </c>
      <c r="I39" s="28" t="s">
        <v>28</v>
      </c>
      <c r="J39" s="28"/>
      <c r="K39" s="35">
        <v>12650</v>
      </c>
      <c r="L39" s="38"/>
      <c r="T39" s="104"/>
      <c r="U39" s="49"/>
    </row>
    <row r="40" spans="8:22" x14ac:dyDescent="0.35">
      <c r="H40" s="4"/>
      <c r="J40" s="28" t="s">
        <v>5</v>
      </c>
      <c r="K40" s="28"/>
      <c r="L40" s="38">
        <f>K39</f>
        <v>12650</v>
      </c>
      <c r="T40" s="104"/>
      <c r="U40" s="49"/>
      <c r="V40" s="49"/>
    </row>
    <row r="41" spans="8:22" ht="15" thickBot="1" x14ac:dyDescent="0.4">
      <c r="H41" s="4"/>
      <c r="J41" s="1"/>
      <c r="K41" s="41">
        <f>SUM(K4:K37)</f>
        <v>888020</v>
      </c>
      <c r="L41" s="42">
        <f>SUM(L4:L37)</f>
        <v>888020</v>
      </c>
      <c r="T41" s="104"/>
      <c r="U41" s="49"/>
    </row>
    <row r="42" spans="8:22" ht="15" thickTop="1" x14ac:dyDescent="0.35">
      <c r="H42" s="5"/>
      <c r="I42" s="2"/>
      <c r="J42" s="2"/>
      <c r="K42" s="2"/>
      <c r="L42" s="43"/>
      <c r="O42" s="53"/>
    </row>
  </sheetData>
  <mergeCells count="5">
    <mergeCell ref="N3:U3"/>
    <mergeCell ref="N4:N5"/>
    <mergeCell ref="O4:P4"/>
    <mergeCell ref="Q4:S4"/>
    <mergeCell ref="T4:U4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7A34-6FB5-4D49-9AD0-2B7D5E78F894}">
  <dimension ref="A1:F41"/>
  <sheetViews>
    <sheetView tabSelected="1" workbookViewId="0">
      <selection activeCell="F26" sqref="F26"/>
    </sheetView>
  </sheetViews>
  <sheetFormatPr defaultColWidth="8.90625" defaultRowHeight="14.5" x14ac:dyDescent="0.35"/>
  <cols>
    <col min="1" max="1" width="6.81640625" style="1" customWidth="1"/>
    <col min="2" max="2" width="5.81640625" style="1" customWidth="1"/>
    <col min="3" max="3" width="37.81640625" style="31" customWidth="1"/>
    <col min="4" max="4" width="12" style="31" customWidth="1"/>
    <col min="5" max="5" width="12" style="1" customWidth="1"/>
    <col min="6" max="6" width="12" style="56" customWidth="1"/>
    <col min="7" max="16384" width="8.90625" style="1"/>
  </cols>
  <sheetData>
    <row r="1" spans="1:6" ht="18.5" x14ac:dyDescent="0.45">
      <c r="A1" s="65" t="s">
        <v>41</v>
      </c>
      <c r="B1" s="65"/>
    </row>
    <row r="3" spans="1:6" x14ac:dyDescent="0.35">
      <c r="A3" s="29" t="s">
        <v>36</v>
      </c>
      <c r="B3" s="30"/>
      <c r="C3" s="12"/>
      <c r="D3" s="10" t="s">
        <v>11</v>
      </c>
      <c r="E3" s="11" t="s">
        <v>12</v>
      </c>
      <c r="F3" s="68"/>
    </row>
    <row r="4" spans="1:6" x14ac:dyDescent="0.35">
      <c r="A4" s="4"/>
      <c r="E4" s="32"/>
    </row>
    <row r="5" spans="1:6" x14ac:dyDescent="0.35">
      <c r="A5" s="33" t="s">
        <v>17</v>
      </c>
      <c r="B5" s="28" t="s">
        <v>14</v>
      </c>
      <c r="C5" s="34"/>
      <c r="D5" s="35">
        <f>26400/12*3</f>
        <v>6600</v>
      </c>
      <c r="E5" s="36"/>
    </row>
    <row r="6" spans="1:6" x14ac:dyDescent="0.35">
      <c r="A6" s="37"/>
      <c r="B6" s="28"/>
      <c r="C6" s="28" t="s">
        <v>16</v>
      </c>
      <c r="D6" s="28"/>
      <c r="E6" s="38">
        <f>D5</f>
        <v>6600</v>
      </c>
      <c r="F6" s="49"/>
    </row>
    <row r="7" spans="1:6" x14ac:dyDescent="0.35">
      <c r="A7" s="37"/>
      <c r="B7" s="28"/>
      <c r="C7" s="28"/>
      <c r="D7" s="28"/>
      <c r="E7" s="36"/>
    </row>
    <row r="8" spans="1:6" x14ac:dyDescent="0.35">
      <c r="A8" s="33" t="s">
        <v>18</v>
      </c>
      <c r="B8" s="28" t="s">
        <v>39</v>
      </c>
      <c r="C8" s="28"/>
      <c r="D8" s="35">
        <f>14500/2</f>
        <v>7250</v>
      </c>
      <c r="E8" s="36"/>
    </row>
    <row r="9" spans="1:6" x14ac:dyDescent="0.35">
      <c r="A9" s="37"/>
      <c r="B9" s="28"/>
      <c r="C9" s="28" t="s">
        <v>43</v>
      </c>
      <c r="D9" s="28"/>
      <c r="E9" s="38">
        <f>D8</f>
        <v>7250</v>
      </c>
      <c r="F9" s="49"/>
    </row>
    <row r="10" spans="1:6" x14ac:dyDescent="0.35">
      <c r="A10" s="37"/>
      <c r="B10" s="28"/>
      <c r="C10" s="28"/>
      <c r="D10" s="28"/>
      <c r="E10" s="36"/>
    </row>
    <row r="11" spans="1:6" x14ac:dyDescent="0.35">
      <c r="A11" s="37"/>
      <c r="B11" s="28" t="s">
        <v>3</v>
      </c>
      <c r="C11" s="28"/>
      <c r="D11" s="35">
        <v>2540</v>
      </c>
      <c r="E11" s="36"/>
    </row>
    <row r="12" spans="1:6" x14ac:dyDescent="0.35">
      <c r="A12" s="37"/>
      <c r="B12" s="28"/>
      <c r="C12" s="28" t="s">
        <v>2</v>
      </c>
      <c r="D12" s="28"/>
      <c r="E12" s="38">
        <f>D11</f>
        <v>2540</v>
      </c>
    </row>
    <row r="13" spans="1:6" x14ac:dyDescent="0.35">
      <c r="A13" s="37"/>
      <c r="B13" s="28"/>
      <c r="C13" s="28"/>
      <c r="D13" s="28"/>
      <c r="E13" s="36"/>
    </row>
    <row r="14" spans="1:6" x14ac:dyDescent="0.35">
      <c r="A14" s="39" t="s">
        <v>19</v>
      </c>
      <c r="B14" s="28" t="s">
        <v>0</v>
      </c>
      <c r="C14" s="28"/>
      <c r="D14" s="35">
        <v>2850</v>
      </c>
      <c r="E14" s="36"/>
    </row>
    <row r="15" spans="1:6" x14ac:dyDescent="0.35">
      <c r="A15" s="37"/>
      <c r="B15" s="28"/>
      <c r="C15" s="28" t="s">
        <v>37</v>
      </c>
      <c r="D15" s="28"/>
      <c r="E15" s="38">
        <f>D14</f>
        <v>2850</v>
      </c>
    </row>
    <row r="16" spans="1:6" x14ac:dyDescent="0.35">
      <c r="A16" s="37"/>
      <c r="B16" s="28"/>
      <c r="C16" s="28"/>
      <c r="D16" s="28"/>
      <c r="E16" s="36"/>
    </row>
    <row r="17" spans="1:6" x14ac:dyDescent="0.35">
      <c r="A17" s="37" t="s">
        <v>20</v>
      </c>
      <c r="B17" s="28" t="s">
        <v>72</v>
      </c>
      <c r="C17" s="28"/>
      <c r="D17" s="35">
        <f>450*4</f>
        <v>1800</v>
      </c>
      <c r="E17" s="36"/>
    </row>
    <row r="18" spans="1:6" x14ac:dyDescent="0.35">
      <c r="A18" s="37"/>
      <c r="B18" s="28"/>
      <c r="C18" s="28" t="s">
        <v>73</v>
      </c>
      <c r="D18" s="35"/>
      <c r="E18" s="38">
        <f>D17</f>
        <v>1800</v>
      </c>
      <c r="F18" s="49"/>
    </row>
    <row r="19" spans="1:6" x14ac:dyDescent="0.35">
      <c r="A19" s="33"/>
      <c r="B19" s="28"/>
      <c r="C19" s="28"/>
      <c r="D19" s="35"/>
      <c r="E19" s="36"/>
    </row>
    <row r="20" spans="1:6" x14ac:dyDescent="0.35">
      <c r="A20" s="33" t="s">
        <v>21</v>
      </c>
      <c r="B20" s="28" t="s">
        <v>38</v>
      </c>
      <c r="C20" s="28"/>
      <c r="D20" s="35">
        <v>8200</v>
      </c>
      <c r="E20" s="36"/>
    </row>
    <row r="21" spans="1:6" x14ac:dyDescent="0.35">
      <c r="A21" s="37"/>
      <c r="B21" s="28"/>
      <c r="C21" s="28" t="s">
        <v>58</v>
      </c>
      <c r="D21" s="28"/>
      <c r="E21" s="38">
        <f>D20</f>
        <v>8200</v>
      </c>
      <c r="F21" s="49"/>
    </row>
    <row r="22" spans="1:6" x14ac:dyDescent="0.35">
      <c r="A22" s="37"/>
      <c r="B22" s="28"/>
      <c r="C22" s="28"/>
      <c r="D22" s="28"/>
      <c r="E22" s="36"/>
    </row>
    <row r="23" spans="1:6" x14ac:dyDescent="0.35">
      <c r="A23" s="37" t="s">
        <v>29</v>
      </c>
      <c r="B23" s="28" t="s">
        <v>74</v>
      </c>
      <c r="C23" s="28"/>
      <c r="D23" s="35">
        <v>2200</v>
      </c>
      <c r="E23" s="36"/>
    </row>
    <row r="24" spans="1:6" x14ac:dyDescent="0.35">
      <c r="A24" s="37"/>
      <c r="B24" s="28"/>
      <c r="C24" s="28" t="s">
        <v>15</v>
      </c>
      <c r="D24" s="28"/>
      <c r="E24" s="38">
        <f>D23</f>
        <v>2200</v>
      </c>
      <c r="F24" s="49"/>
    </row>
    <row r="25" spans="1:6" x14ac:dyDescent="0.35">
      <c r="A25" s="37"/>
      <c r="B25" s="28"/>
      <c r="C25" s="28"/>
      <c r="D25" s="28"/>
      <c r="E25" s="36"/>
    </row>
    <row r="26" spans="1:6" x14ac:dyDescent="0.35">
      <c r="A26" s="37" t="s">
        <v>22</v>
      </c>
      <c r="B26" s="28" t="s">
        <v>40</v>
      </c>
      <c r="C26" s="28"/>
      <c r="D26" s="35">
        <v>4200</v>
      </c>
      <c r="E26" s="36"/>
    </row>
    <row r="27" spans="1:6" x14ac:dyDescent="0.35">
      <c r="A27" s="37"/>
      <c r="B27" s="28"/>
      <c r="C27" s="28" t="s">
        <v>44</v>
      </c>
      <c r="D27" s="28"/>
      <c r="E27" s="38">
        <f>D26</f>
        <v>4200</v>
      </c>
    </row>
    <row r="28" spans="1:6" ht="15" thickBot="1" x14ac:dyDescent="0.4">
      <c r="A28" s="4"/>
      <c r="C28" s="1"/>
      <c r="D28" s="41">
        <f>SUM(D4:D27)</f>
        <v>35640</v>
      </c>
      <c r="E28" s="42">
        <f>SUM(E4:E27)</f>
        <v>35640</v>
      </c>
    </row>
    <row r="29" spans="1:6" ht="15" thickTop="1" x14ac:dyDescent="0.35">
      <c r="A29" s="5"/>
      <c r="B29" s="2"/>
      <c r="C29" s="2"/>
      <c r="D29" s="2"/>
      <c r="E29" s="43"/>
    </row>
    <row r="33" spans="6:6" x14ac:dyDescent="0.35">
      <c r="F33" s="49"/>
    </row>
    <row r="36" spans="6:6" x14ac:dyDescent="0.35">
      <c r="F36" s="49"/>
    </row>
    <row r="39" spans="6:6" x14ac:dyDescent="0.35">
      <c r="F39" s="49"/>
    </row>
    <row r="41" spans="6:6" x14ac:dyDescent="0.35">
      <c r="F41" s="49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6482-91FF-49B4-9626-AABFE67D9B42}">
  <dimension ref="A1:D15"/>
  <sheetViews>
    <sheetView workbookViewId="0">
      <selection activeCell="H6" sqref="H6"/>
    </sheetView>
  </sheetViews>
  <sheetFormatPr defaultRowHeight="14.5" x14ac:dyDescent="0.35"/>
  <cols>
    <col min="1" max="1" width="42.08984375" customWidth="1"/>
    <col min="2" max="2" width="12.453125" customWidth="1"/>
    <col min="3" max="3" width="15.453125" customWidth="1"/>
    <col min="4" max="4" width="9.1796875" bestFit="1" customWidth="1"/>
  </cols>
  <sheetData>
    <row r="1" spans="1:4" ht="15.65" customHeight="1" x14ac:dyDescent="0.35">
      <c r="A1" s="115" t="s">
        <v>60</v>
      </c>
      <c r="B1" s="115"/>
      <c r="C1" s="115"/>
    </row>
    <row r="2" spans="1:4" ht="15.65" customHeight="1" x14ac:dyDescent="0.35">
      <c r="A2" s="22" t="s">
        <v>64</v>
      </c>
      <c r="B2" s="9" t="s">
        <v>11</v>
      </c>
      <c r="C2" s="21" t="s">
        <v>12</v>
      </c>
    </row>
    <row r="3" spans="1:4" ht="15.65" customHeight="1" x14ac:dyDescent="0.35">
      <c r="A3" s="4" t="str">
        <f>'TB @ 30 Sept 2025'!A3</f>
        <v>Cash</v>
      </c>
      <c r="B3" s="24">
        <v>350130</v>
      </c>
      <c r="C3" s="25"/>
    </row>
    <row r="4" spans="1:4" ht="15.65" customHeight="1" x14ac:dyDescent="0.35">
      <c r="A4" s="4" t="str">
        <f>'TB @ 30 Sept 2025'!A4</f>
        <v>Accounts Receivable</v>
      </c>
      <c r="B4" s="24">
        <v>21700</v>
      </c>
      <c r="C4" s="25"/>
      <c r="D4" s="82"/>
    </row>
    <row r="5" spans="1:4" ht="15.65" customHeight="1" x14ac:dyDescent="0.35">
      <c r="A5" s="4" t="str">
        <f>'TB @ 30 Sept 2025'!A6</f>
        <v>Inventory</v>
      </c>
      <c r="B5" s="24">
        <v>102000</v>
      </c>
      <c r="C5" s="25"/>
    </row>
    <row r="6" spans="1:4" ht="15.65" customHeight="1" x14ac:dyDescent="0.35">
      <c r="A6" s="4" t="str">
        <f>'TB @ 30 Sept 2025'!A7</f>
        <v>Accounts Payable</v>
      </c>
      <c r="B6" s="24"/>
      <c r="C6" s="25">
        <v>18600</v>
      </c>
    </row>
    <row r="7" spans="1:4" ht="15.65" customHeight="1" x14ac:dyDescent="0.35">
      <c r="A7" s="4" t="str">
        <f>'TB @ 30 Sept 2025'!A9</f>
        <v>Long-term Debt</v>
      </c>
      <c r="B7" s="24"/>
      <c r="C7" s="25">
        <f>'TB @ 30 Sept 2025'!C9</f>
        <v>50000</v>
      </c>
    </row>
    <row r="8" spans="1:4" ht="15.65" customHeight="1" x14ac:dyDescent="0.35">
      <c r="A8" s="4" t="str">
        <f>'TB @ 30 Sept 2025'!A10</f>
        <v>Share Capital - Ordinary Shares</v>
      </c>
      <c r="B8" s="24"/>
      <c r="C8" s="25">
        <f>'TB @ 30 Sept 2025'!C10</f>
        <v>200000</v>
      </c>
    </row>
    <row r="9" spans="1:4" ht="15.65" customHeight="1" x14ac:dyDescent="0.35">
      <c r="A9" s="4" t="str">
        <f>'TB @ 30 Sept 2025'!A11</f>
        <v>Share Capital - Preference Shares (cumulative)</v>
      </c>
      <c r="B9" s="24"/>
      <c r="C9" s="25">
        <f>'TB @ 30 Sept 2025'!C11</f>
        <v>200000</v>
      </c>
    </row>
    <row r="10" spans="1:4" ht="15.65" customHeight="1" x14ac:dyDescent="0.35">
      <c r="A10" s="4" t="str">
        <f>'TB @ 30 Sept 2025'!A12</f>
        <v>Retained Earnings  (@ 31 Dec 2024)</v>
      </c>
      <c r="B10" s="24"/>
      <c r="C10" s="25">
        <f>'TB @ 30 Sept 2025'!C12</f>
        <v>5230</v>
      </c>
    </row>
    <row r="11" spans="1:4" ht="15.65" customHeight="1" x14ac:dyDescent="0.35">
      <c r="A11" s="23"/>
      <c r="B11" s="27">
        <f>SUM(B3:B10)</f>
        <v>473830</v>
      </c>
      <c r="C11" s="27">
        <f>SUM(C3:C10)</f>
        <v>473830</v>
      </c>
      <c r="D11" s="82"/>
    </row>
    <row r="12" spans="1:4" ht="15.65" customHeight="1" x14ac:dyDescent="0.35">
      <c r="B12" s="3"/>
      <c r="C12" s="3"/>
    </row>
    <row r="13" spans="1:4" x14ac:dyDescent="0.35">
      <c r="A13" t="s">
        <v>7</v>
      </c>
      <c r="B13" s="82">
        <f>SUM(B3:B5)</f>
        <v>473830</v>
      </c>
    </row>
    <row r="14" spans="1:4" x14ac:dyDescent="0.35">
      <c r="A14" t="s">
        <v>9</v>
      </c>
      <c r="C14" s="82">
        <f>SUM(C6:C7)</f>
        <v>68600</v>
      </c>
    </row>
    <row r="15" spans="1:4" x14ac:dyDescent="0.35">
      <c r="A15" t="s">
        <v>45</v>
      </c>
      <c r="C15" s="82">
        <f>SUM(C8:C10)</f>
        <v>405230</v>
      </c>
      <c r="D15" s="8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8" ma:contentTypeDescription="Create a new document." ma:contentTypeScope="" ma:versionID="ecd487ed8db3878f6fc752d3e839d19d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1a9372c9027c374d89d663cf2361a631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Props1.xml><?xml version="1.0" encoding="utf-8"?>
<ds:datastoreItem xmlns:ds="http://schemas.openxmlformats.org/officeDocument/2006/customXml" ds:itemID="{52A133E6-4AD2-4E55-8C16-45E21EFF2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C60337-E26F-4C85-A752-F138A6903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0B9661-662C-4790-842A-C8BFD41F756E}">
  <ds:schemaRefs>
    <ds:schemaRef ds:uri="http://purl.org/dc/elements/1.1/"/>
    <ds:schemaRef ds:uri="http://purl.org/dc/dcmitype/"/>
    <ds:schemaRef ds:uri="a53cfe13-88a2-4d8a-921a-26acc93ffab7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3370fb0-917d-486d-8ec5-33c5248dbde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 @ 30 Sept 2025</vt:lpstr>
      <vt:lpstr>Tutorial 2 Sol</vt:lpstr>
      <vt:lpstr>Tutorial 3 Sol</vt:lpstr>
      <vt:lpstr>TB @ 31 Dec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2022-06-06T03:14:46Z</dcterms:created>
  <dcterms:modified xsi:type="dcterms:W3CDTF">2025-09-03T02:36:04Z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