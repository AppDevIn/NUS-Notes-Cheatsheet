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s://nusu-my.sharepoint.com/personal/bizhann_nus_edu_sg/Documents/TEACHING/AY2526 S1 ACC1701XA/Tutorial/Hunt3X Tutorial/"/>
    </mc:Choice>
  </mc:AlternateContent>
  <xr:revisionPtr revIDLastSave="0" documentId="14_{7A9F042E-4F92-4ABB-8302-B5878C5D42EE}" xr6:coauthVersionLast="36" xr6:coauthVersionMax="36" xr10:uidLastSave="{00000000-0000-0000-0000-000000000000}"/>
  <bookViews>
    <workbookView xWindow="28680" yWindow="-120" windowWidth="29040" windowHeight="15720" firstSheet="2" activeTab="5"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B @ 31 Dec 2024" sheetId="28" r:id="rId6"/>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14" i="9" l="1"/>
  <c r="D5" i="17" l="1"/>
  <c r="D8" i="17"/>
  <c r="Q15" i="18"/>
  <c r="Q14" i="18"/>
  <c r="F21" i="9" l="1"/>
  <c r="A21" i="9"/>
  <c r="D130" i="20" l="1"/>
  <c r="D146" i="20" s="1"/>
  <c r="D118" i="20"/>
  <c r="B104" i="20"/>
  <c r="C79" i="20"/>
  <c r="C80" i="20" s="1"/>
  <c r="D92" i="20" s="1"/>
  <c r="C36" i="20"/>
  <c r="C59" i="20" s="1"/>
  <c r="C84" i="20" s="1"/>
  <c r="G4" i="20"/>
  <c r="AD26" i="18" l="1"/>
  <c r="AD25" i="18"/>
  <c r="AD24" i="18"/>
  <c r="AD23" i="18"/>
  <c r="T3" i="18"/>
  <c r="F8" i="18"/>
  <c r="E8" i="18"/>
  <c r="E14" i="18"/>
  <c r="A17" i="18"/>
  <c r="A10" i="18"/>
  <c r="E18" i="17" l="1"/>
  <c r="G14" i="18" s="1"/>
  <c r="I14" i="18" s="1"/>
  <c r="D17" i="17"/>
  <c r="B5" i="14"/>
  <c r="B5" i="9" s="1"/>
  <c r="B15" i="14"/>
  <c r="L40" i="9"/>
  <c r="K18" i="9"/>
  <c r="L19" i="9" s="1"/>
  <c r="B12" i="9" s="1"/>
  <c r="Q23" i="9"/>
  <c r="R35" i="9"/>
  <c r="Q35" i="9"/>
  <c r="B13" i="28"/>
  <c r="X7" i="9" s="1"/>
  <c r="C58" i="18" s="1"/>
  <c r="S30" i="9"/>
  <c r="Q16" i="9"/>
  <c r="R9" i="9"/>
  <c r="Q9" i="9"/>
  <c r="Q8" i="9"/>
  <c r="Q25" i="9"/>
  <c r="F10" i="9"/>
  <c r="L34" i="9"/>
  <c r="S14" i="9" s="1"/>
  <c r="L25" i="9"/>
  <c r="K15" i="9"/>
  <c r="R16" i="9" s="1"/>
  <c r="L9" i="9"/>
  <c r="S25" i="9" s="1"/>
  <c r="B11" i="28"/>
  <c r="C7" i="28"/>
  <c r="C10" i="28"/>
  <c r="C9" i="28"/>
  <c r="C8" i="28"/>
  <c r="B18" i="14"/>
  <c r="B17" i="14"/>
  <c r="B14" i="14"/>
  <c r="N14" i="18" l="1"/>
  <c r="AE24" i="18"/>
  <c r="S23" i="9"/>
  <c r="D21" i="9"/>
  <c r="C15" i="28"/>
  <c r="C11" i="28"/>
  <c r="C14" i="28"/>
  <c r="U25" i="9"/>
  <c r="F12" i="9"/>
  <c r="B11" i="9"/>
  <c r="D17" i="18" l="1"/>
  <c r="I17" i="18" s="1"/>
  <c r="N17" i="18" s="1"/>
  <c r="AE27" i="18" s="1"/>
  <c r="A10" i="28"/>
  <c r="A9" i="28"/>
  <c r="A8" i="28"/>
  <c r="A7" i="28"/>
  <c r="A6" i="28"/>
  <c r="A5" i="28"/>
  <c r="A4" i="28"/>
  <c r="A3" i="28"/>
  <c r="W9" i="18" l="1"/>
  <c r="U9" i="18"/>
  <c r="A20" i="18"/>
  <c r="P28" i="9"/>
  <c r="U28" i="9" s="1"/>
  <c r="D20" i="18" s="1"/>
  <c r="I20" i="18" s="1"/>
  <c r="N28" i="9"/>
  <c r="Q13" i="9"/>
  <c r="W12" i="18" l="1"/>
  <c r="AE35" i="18" s="1"/>
  <c r="N20" i="18"/>
  <c r="AC35" i="18"/>
  <c r="P29" i="9" l="1"/>
  <c r="U29" i="9" s="1"/>
  <c r="D21" i="18" s="1"/>
  <c r="I21" i="18" s="1"/>
  <c r="D86" i="20"/>
  <c r="D90" i="20" s="1"/>
  <c r="E90" i="20"/>
  <c r="D104" i="20"/>
  <c r="D117" i="20" s="1"/>
  <c r="E19" i="20"/>
  <c r="C20" i="20"/>
  <c r="C43" i="20" s="1"/>
  <c r="E26" i="20"/>
  <c r="B46" i="18"/>
  <c r="B45" i="18"/>
  <c r="B44" i="18"/>
  <c r="B43" i="18"/>
  <c r="E16" i="18"/>
  <c r="F31" i="18"/>
  <c r="E31" i="18"/>
  <c r="E27" i="17"/>
  <c r="G16" i="18" s="1"/>
  <c r="I16" i="18" s="1"/>
  <c r="Q17" i="18"/>
  <c r="E26" i="18"/>
  <c r="E11" i="18"/>
  <c r="E29" i="18"/>
  <c r="E28" i="18"/>
  <c r="F23" i="18"/>
  <c r="E23" i="18"/>
  <c r="E9" i="18"/>
  <c r="E30" i="18"/>
  <c r="E15" i="18" s="1"/>
  <c r="G20" i="20" l="1"/>
  <c r="E12" i="17"/>
  <c r="G9" i="18" s="1"/>
  <c r="E13" i="18"/>
  <c r="E22" i="18" s="1"/>
  <c r="E7" i="18"/>
  <c r="E24" i="18" s="1"/>
  <c r="E24" i="17"/>
  <c r="G26" i="18" s="1"/>
  <c r="Q24" i="9"/>
  <c r="R15" i="9"/>
  <c r="Q15" i="9"/>
  <c r="B20" i="9"/>
  <c r="A20" i="9"/>
  <c r="A19" i="9"/>
  <c r="K41" i="9"/>
  <c r="L37" i="9"/>
  <c r="D20" i="9" s="1"/>
  <c r="H8" i="18" l="1"/>
  <c r="F28" i="18"/>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20" i="14"/>
  <c r="F5" i="9"/>
  <c r="U24" i="9"/>
  <c r="D13" i="18" s="1"/>
  <c r="I13" i="18" s="1"/>
  <c r="AE23" i="18" s="1"/>
  <c r="M8" i="18"/>
  <c r="O31" i="9"/>
  <c r="T31" i="9" s="1"/>
  <c r="A27" i="18"/>
  <c r="Q13" i="18" s="1"/>
  <c r="U22" i="9"/>
  <c r="O35" i="9"/>
  <c r="T35" i="9" s="1"/>
  <c r="C27" i="18" s="1"/>
  <c r="O18" i="9"/>
  <c r="T18" i="9" s="1"/>
  <c r="C7" i="18" s="1"/>
  <c r="P37" i="9"/>
  <c r="U26" i="9"/>
  <c r="T21" i="9"/>
  <c r="R37" i="9"/>
  <c r="T33" i="9"/>
  <c r="C25" i="18" s="1"/>
  <c r="T34" i="9"/>
  <c r="C26" i="18" s="1"/>
  <c r="C10" i="18" l="1"/>
  <c r="D18" i="18"/>
  <c r="C23" i="18"/>
  <c r="G5" i="9"/>
  <c r="N13" i="18"/>
  <c r="B42" i="18"/>
  <c r="O37" i="9"/>
  <c r="D96" i="20"/>
  <c r="E72" i="20"/>
  <c r="E65" i="20"/>
  <c r="D61" i="20"/>
  <c r="D56" i="20"/>
  <c r="D67" i="20" s="1"/>
  <c r="D72" i="20" s="1"/>
  <c r="E39" i="20"/>
  <c r="E42" i="20" s="1"/>
  <c r="D38" i="20"/>
  <c r="E15" i="17" l="1"/>
  <c r="G15" i="18" s="1"/>
  <c r="I15" i="18" s="1"/>
  <c r="F30" i="18"/>
  <c r="H30" i="18" s="1"/>
  <c r="D65" i="20"/>
  <c r="D39" i="20"/>
  <c r="D33" i="20"/>
  <c r="D48" i="20" s="1"/>
  <c r="AE25" i="18" l="1"/>
  <c r="N15" i="18"/>
  <c r="R17" i="18"/>
  <c r="D45" i="18"/>
  <c r="L30" i="18" s="1"/>
  <c r="M30" i="18" s="1"/>
  <c r="F29" i="18"/>
  <c r="E21" i="17"/>
  <c r="G11" i="18" s="1"/>
  <c r="I11" i="18" s="1"/>
  <c r="C66" i="20"/>
  <c r="G43" i="20"/>
  <c r="D42" i="20"/>
  <c r="AD12" i="18"/>
  <c r="A26" i="18"/>
  <c r="Q12" i="18" s="1"/>
  <c r="A25" i="18"/>
  <c r="Q11" i="18" s="1"/>
  <c r="A24" i="18"/>
  <c r="Q10" i="18" s="1"/>
  <c r="A23" i="18"/>
  <c r="A22" i="18"/>
  <c r="Q7" i="18" s="1"/>
  <c r="A21" i="18"/>
  <c r="A19" i="18"/>
  <c r="A18" i="18"/>
  <c r="A12" i="18"/>
  <c r="AD22" i="18" s="1"/>
  <c r="A9" i="18"/>
  <c r="A7" i="18"/>
  <c r="A6" i="18"/>
  <c r="A5" i="18"/>
  <c r="Q19" i="18"/>
  <c r="N11" i="18" l="1"/>
  <c r="G66" i="20"/>
  <c r="C91" i="20"/>
  <c r="C116" i="20" s="1"/>
  <c r="G116" i="20" s="1"/>
  <c r="AC34" i="18"/>
  <c r="AD9" i="18"/>
  <c r="Q8" i="18"/>
  <c r="AD13" i="18"/>
  <c r="B41" i="18"/>
  <c r="AD11" i="18"/>
  <c r="AD10" i="18"/>
  <c r="AD30" i="18"/>
  <c r="B40" i="18"/>
  <c r="A79" i="20"/>
  <c r="B39" i="18"/>
  <c r="H27" i="18"/>
  <c r="R13" i="18" s="1"/>
  <c r="A37" i="18"/>
  <c r="T5" i="18"/>
  <c r="AC3" i="18"/>
  <c r="E9" i="17"/>
  <c r="E6" i="17"/>
  <c r="G7" i="18" s="1"/>
  <c r="G91" i="20" l="1"/>
  <c r="D42" i="18"/>
  <c r="L27" i="18" s="1"/>
  <c r="M27" i="18" s="1"/>
  <c r="F24" i="18"/>
  <c r="H7" i="18"/>
  <c r="E28" i="17"/>
  <c r="D28" i="17"/>
  <c r="H31" i="18"/>
  <c r="R19" i="18" s="1"/>
  <c r="B38" i="18"/>
  <c r="D46" i="18" l="1"/>
  <c r="L31" i="18" s="1"/>
  <c r="M31" i="18" s="1"/>
  <c r="N16" i="18"/>
  <c r="AE11" i="18"/>
  <c r="M7" i="18"/>
  <c r="AE26" i="18"/>
  <c r="F32" i="18"/>
  <c r="H29" i="18"/>
  <c r="R15" i="18" s="1"/>
  <c r="AE12" i="18"/>
  <c r="D44" i="18" l="1"/>
  <c r="L29" i="18" s="1"/>
  <c r="M29" i="18" s="1"/>
  <c r="G32" i="18"/>
  <c r="C19" i="14" l="1"/>
  <c r="B19" i="14"/>
  <c r="A6" i="9" l="1"/>
  <c r="H28" i="18" l="1"/>
  <c r="R14" i="18" s="1"/>
  <c r="H24" i="18"/>
  <c r="A17" i="9"/>
  <c r="A16" i="9"/>
  <c r="A15" i="9"/>
  <c r="E5" i="9"/>
  <c r="E6" i="9" s="1"/>
  <c r="E7" i="9" s="1"/>
  <c r="E8" i="9" s="1"/>
  <c r="C5" i="9"/>
  <c r="C6" i="9" s="1"/>
  <c r="C7" i="9" s="1"/>
  <c r="C8" i="9" s="1"/>
  <c r="L31" i="9"/>
  <c r="L28" i="9"/>
  <c r="L22" i="9"/>
  <c r="L12" i="9"/>
  <c r="L6" i="9"/>
  <c r="B9" i="9" l="1"/>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F6" i="9"/>
  <c r="F22" i="9" s="1"/>
  <c r="L41" i="9"/>
  <c r="D24" i="9"/>
  <c r="U30" i="9"/>
  <c r="S17" i="9"/>
  <c r="T16" i="9" s="1"/>
  <c r="B14" i="9"/>
  <c r="S11" i="9"/>
  <c r="B15" i="9"/>
  <c r="S12" i="9"/>
  <c r="B16" i="9"/>
  <c r="S13" i="9"/>
  <c r="B18" i="9"/>
  <c r="S27" i="9"/>
  <c r="U10" i="18" s="1"/>
  <c r="R10" i="18"/>
  <c r="G5" i="20" s="1"/>
  <c r="G6" i="20" s="1"/>
  <c r="Y9" i="18"/>
  <c r="AA9" i="18" s="1"/>
  <c r="H26" i="18"/>
  <c r="R12" i="18" s="1"/>
  <c r="H25" i="18"/>
  <c r="R11" i="18" s="1"/>
  <c r="I18" i="18"/>
  <c r="C18" i="9"/>
  <c r="C19" i="9" s="1"/>
  <c r="C20" i="9" s="1"/>
  <c r="C21" i="9" s="1"/>
  <c r="H10" i="18"/>
  <c r="AE16" i="18" s="1"/>
  <c r="B22" i="9" l="1"/>
  <c r="AA10" i="18"/>
  <c r="C9" i="20"/>
  <c r="D10" i="20"/>
  <c r="D15" i="20" s="1"/>
  <c r="D19" i="20" s="1"/>
  <c r="X9" i="9"/>
  <c r="D25" i="9"/>
  <c r="T6" i="9"/>
  <c r="C6" i="18"/>
  <c r="H6" i="18" s="1"/>
  <c r="D22" i="18"/>
  <c r="D40" i="18"/>
  <c r="L25" i="18" s="1"/>
  <c r="M25" i="18" s="1"/>
  <c r="D41" i="18"/>
  <c r="L26" i="18" s="1"/>
  <c r="M26" i="18" s="1"/>
  <c r="M10" i="18"/>
  <c r="D21" i="20"/>
  <c r="D26" i="20" s="1"/>
  <c r="N18" i="18"/>
  <c r="D12" i="18"/>
  <c r="AE30" i="18"/>
  <c r="AE31" i="18" s="1"/>
  <c r="U27" i="9"/>
  <c r="S37" i="9"/>
  <c r="H9" i="18"/>
  <c r="H23" i="18"/>
  <c r="R8" i="18" s="1"/>
  <c r="I22" i="18" l="1"/>
  <c r="R22" i="18" s="1"/>
  <c r="D19" i="18"/>
  <c r="I19" i="18" s="1"/>
  <c r="F24" i="9"/>
  <c r="F25" i="9" s="1"/>
  <c r="C5" i="18"/>
  <c r="B24" i="9"/>
  <c r="B25" i="9" s="1"/>
  <c r="M6" i="18"/>
  <c r="X4" i="9"/>
  <c r="M9" i="18"/>
  <c r="I12" i="18"/>
  <c r="D38" i="18"/>
  <c r="L23" i="18" s="1"/>
  <c r="M23" i="18" s="1"/>
  <c r="U12" i="18"/>
  <c r="AE34" i="18" s="1"/>
  <c r="U37" i="9"/>
  <c r="T37" i="9"/>
  <c r="AE13" i="18"/>
  <c r="AE10" i="18"/>
  <c r="X10" i="9" l="1"/>
  <c r="X11" i="9" s="1"/>
  <c r="C37" i="18"/>
  <c r="D47" i="18" s="1"/>
  <c r="D32" i="18"/>
  <c r="N19" i="18"/>
  <c r="H5" i="18"/>
  <c r="C32" i="18"/>
  <c r="I32" i="18"/>
  <c r="N12" i="18"/>
  <c r="R7" i="18"/>
  <c r="AE22" i="18"/>
  <c r="AE28" i="18" s="1"/>
  <c r="AE32" i="18" s="1"/>
  <c r="AE17" i="18"/>
  <c r="X5" i="9"/>
  <c r="C54" i="18" l="1"/>
  <c r="K22" i="18"/>
  <c r="D33" i="18"/>
  <c r="AE9" i="18"/>
  <c r="AE14" i="18" s="1"/>
  <c r="H32" i="18"/>
  <c r="I33" i="18" s="1"/>
  <c r="M5" i="18"/>
  <c r="M32" i="18" s="1"/>
  <c r="L21" i="18"/>
  <c r="C16" i="20"/>
  <c r="R9" i="18"/>
  <c r="R16" i="18" s="1"/>
  <c r="AE18" i="18" l="1"/>
  <c r="C64" i="18" s="1"/>
  <c r="K32" i="18"/>
  <c r="N22" i="18"/>
  <c r="R18" i="18"/>
  <c r="R20" i="18" s="1"/>
  <c r="C39" i="20"/>
  <c r="G39" i="20" s="1"/>
  <c r="G16" i="20"/>
  <c r="N21" i="18"/>
  <c r="L32" i="18"/>
  <c r="N32" i="18" l="1"/>
  <c r="N33" i="18" s="1"/>
  <c r="C59" i="18"/>
  <c r="C60" i="18" s="1"/>
  <c r="C22" i="20" s="1"/>
  <c r="C45" i="20" s="1"/>
  <c r="C68" i="20" s="1"/>
  <c r="C93" i="20" s="1"/>
  <c r="C119" i="20" s="1"/>
  <c r="C53" i="18"/>
  <c r="C63" i="18"/>
  <c r="C62" i="18" s="1"/>
  <c r="Y11" i="18"/>
  <c r="Y12" i="18" s="1"/>
  <c r="AE36" i="18" s="1"/>
  <c r="C62" i="20"/>
  <c r="C87" i="20" s="1"/>
  <c r="C111" i="20" s="1"/>
  <c r="C15" i="20"/>
  <c r="C38" i="20" s="1"/>
  <c r="C26" i="20"/>
  <c r="C21" i="20" l="1"/>
  <c r="G21" i="20" s="1"/>
  <c r="G22" i="20" s="1"/>
  <c r="G111" i="20"/>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7" i="18"/>
  <c r="AE38" i="18" s="1"/>
  <c r="C49" i="20"/>
  <c r="G49" i="20" s="1"/>
  <c r="G26" i="20"/>
  <c r="G87" i="20"/>
  <c r="C61" i="20"/>
  <c r="G61" i="20" s="1"/>
  <c r="C37" i="20"/>
  <c r="G38" i="20"/>
  <c r="G37" i="20" s="1"/>
  <c r="G117" i="20" l="1"/>
  <c r="C141" i="20"/>
  <c r="G141" i="20" s="1"/>
  <c r="G143" i="20" s="1"/>
  <c r="G25" i="20"/>
  <c r="G24" i="20" s="1"/>
  <c r="C48" i="20"/>
  <c r="G48" i="20" s="1"/>
  <c r="G67" i="20"/>
  <c r="G68" i="20" s="1"/>
  <c r="C18" i="20"/>
  <c r="G44" i="20"/>
  <c r="G45" i="20" s="1"/>
  <c r="G41" i="20" s="1"/>
  <c r="G19" i="20"/>
  <c r="G18" i="20" s="1"/>
  <c r="C56" i="18"/>
  <c r="C41" i="20"/>
  <c r="C65" i="20"/>
  <c r="C90" i="20" s="1"/>
  <c r="C72" i="20"/>
  <c r="G60" i="20"/>
  <c r="C86" i="20"/>
  <c r="C110" i="20" s="1"/>
  <c r="C60" i="20"/>
  <c r="G92" i="20"/>
  <c r="G93" i="20" s="1"/>
  <c r="C47" i="20" l="1"/>
  <c r="C109" i="20"/>
  <c r="C135" i="20"/>
  <c r="G47" i="20"/>
  <c r="C71" i="20"/>
  <c r="G65" i="20"/>
  <c r="G64" i="20" s="1"/>
  <c r="C64" i="20"/>
  <c r="C97" i="20"/>
  <c r="G72" i="20"/>
  <c r="G86" i="20"/>
  <c r="G85" i="20" s="1"/>
  <c r="C85" i="20"/>
  <c r="G119" i="20"/>
  <c r="C115" i="20"/>
  <c r="G90" i="20"/>
  <c r="G89" i="20" s="1"/>
  <c r="C89" i="20"/>
  <c r="G115" i="20" l="1"/>
  <c r="G114" i="20" s="1"/>
  <c r="C140" i="20"/>
  <c r="G140" i="20" s="1"/>
  <c r="G139" i="20" s="1"/>
  <c r="C134" i="20"/>
  <c r="G135" i="20"/>
  <c r="G134" i="20" s="1"/>
  <c r="C96" i="20"/>
  <c r="G71" i="20"/>
  <c r="G70" i="20" s="1"/>
  <c r="C70" i="20"/>
  <c r="C123" i="20"/>
  <c r="G97" i="20"/>
  <c r="G110" i="20"/>
  <c r="G109" i="20" s="1"/>
  <c r="G123" i="20" l="1"/>
  <c r="C147" i="20"/>
  <c r="G147" i="20" s="1"/>
  <c r="C122" i="20"/>
  <c r="G96" i="20"/>
  <c r="G95" i="20" s="1"/>
  <c r="C95" i="20"/>
  <c r="G122" i="20" l="1"/>
  <c r="G121" i="20" s="1"/>
  <c r="C146" i="20"/>
  <c r="C121" i="20"/>
  <c r="C114" i="20"/>
  <c r="C143" i="20"/>
  <c r="C139" i="20"/>
  <c r="G146" i="20" l="1"/>
  <c r="G145" i="20" s="1"/>
  <c r="C145" i="20"/>
</calcChain>
</file>

<file path=xl/sharedStrings.xml><?xml version="1.0" encoding="utf-8"?>
<sst xmlns="http://schemas.openxmlformats.org/spreadsheetml/2006/main" count="392" uniqueCount="161">
  <si>
    <t>Interest Expense</t>
  </si>
  <si>
    <t>Share Capital</t>
  </si>
  <si>
    <t>Cash</t>
  </si>
  <si>
    <t>Property, Plant &amp; Equipment (PPE)</t>
  </si>
  <si>
    <t>Inventory</t>
  </si>
  <si>
    <t>Cost of Goods Sold</t>
  </si>
  <si>
    <t>Long-term Debt</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</si>
  <si>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</si>
  <si>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</si>
  <si>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</si>
  <si>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</si>
  <si>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</si>
  <si>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</si>
  <si>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</si>
  <si>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</si>
  <si>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</si>
  <si>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</si>
  <si>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</si>
  <si>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</si>
  <si>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</si>
  <si>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</si>
  <si>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</si>
  <si>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</si>
  <si>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</si>
  <si>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</si>
  <si>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</si>
  <si>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</si>
  <si>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</si>
  <si>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</si>
  <si>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</si>
  <si>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</si>
  <si>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</si>
  <si>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</si>
  <si>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</si>
  <si>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</si>
  <si>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</si>
  <si>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</si>
  <si>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</si>
  <si>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</si>
  <si>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</si>
  <si>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</si>
  <si>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</si>
  <si>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</si>
  <si>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</si>
  <si>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</si>
  <si>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</si>
  <si>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</si>
  <si>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</si>
  <si>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</si>
  <si>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</si>
  <si>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</si>
  <si>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</si>
  <si>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</si>
  <si>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</si>
  <si>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</si>
  <si>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</si>
  <si>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</si>
  <si>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</si>
  <si>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</si>
  <si>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</si>
  <si>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</si>
  <si>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Non-current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</si>
  <si>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</si>
  <si>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</si>
  <si>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</si>
  <si>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</si>
  <si>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</si>
  <si>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</si>
  <si>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</si>
  <si>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</si>
  <si>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</si>
  <si>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</si>
  <si>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</si>
  <si>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</si>
  <si>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</si>
  <si>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</si>
  <si>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</si>
  <si>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</si>
  <si>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</si>
  <si>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</si>
  <si>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</si>
  <si>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TB Worksheet</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</si>
  <si>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</si>
  <si>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</si>
  <si>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</si>
  <si>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</si>
  <si>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</si>
  <si>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</si>
  <si>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</si>
  <si>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</si>
  <si>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</si>
  <si>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</si>
  <si>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</si>
  <si>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</si>
  <si>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(j)</t>
  </si>
  <si>
    <t>Net Profit</t>
  </si>
  <si>
    <t>Account Name</t>
  </si>
  <si>
    <t>Part 3</t>
  </si>
  <si>
    <t>Correction amount to rent expense</t>
  </si>
  <si>
    <t>The incorrect amount of rent expense reported on the financial statement:</t>
  </si>
  <si>
    <t>increase</t>
  </si>
  <si>
    <t>prepaid rent increase</t>
  </si>
  <si>
    <t>From Tutorial 3 Part (5)</t>
  </si>
  <si>
    <t>Share Capital - Ordinary Shares</t>
  </si>
  <si>
    <t>Accumulated Depreciation - Equipment</t>
  </si>
  <si>
    <t xml:space="preserve">Ordinary </t>
  </si>
  <si>
    <t>Shares</t>
  </si>
  <si>
    <t xml:space="preserve">Preference </t>
  </si>
  <si>
    <t>Share Capital - Preference Shares (cumulative)</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</si>
  <si>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</si>
  <si>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</si>
  <si>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</si>
  <si>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</si>
  <si>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</si>
  <si>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</si>
  <si>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</si>
  <si>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</si>
  <si>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</si>
  <si>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</si>
  <si>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</si>
  <si>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</si>
  <si>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</si>
  <si>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</si>
  <si>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</si>
  <si>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</si>
  <si>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</si>
  <si>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</si>
  <si>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</si>
  <si>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</si>
  <si>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</si>
  <si>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</si>
  <si>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</si>
  <si>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</si>
  <si>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</si>
  <si>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</si>
  <si>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</si>
  <si>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</si>
  <si>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</si>
  <si>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</si>
  <si>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</si>
  <si>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</si>
  <si>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</si>
  <si>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</si>
  <si>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</si>
  <si>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</si>
  <si>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</si>
  <si>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</si>
  <si>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</si>
  <si>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Adjustments/Corrections 
(from Tutorial 2)</t>
  </si>
  <si>
    <t>Adjusted Trial Balance @ 31 Dec 2025</t>
  </si>
  <si>
    <t>Post Closing Trial Balance @ 31 Dec 2025</t>
  </si>
  <si>
    <t>Unadjusted Trial Balance 
@ 31 Dec 2025</t>
  </si>
  <si>
    <t>Check NI balance with TB</t>
  </si>
  <si>
    <t>Total Non-current Liabilities</t>
  </si>
  <si>
    <t>Closing Entries (from part 3)</t>
  </si>
  <si>
    <t>2025 Ratios</t>
  </si>
  <si>
    <t>Balance Check</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</si>
  <si>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</si>
  <si>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</si>
  <si>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Cash*</t>
  </si>
  <si>
    <t>*Assuming cash is recovered from the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</si>
</sst>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00_-;\-* #,##0.00_-;_-* &quot;-&quot;??_-;_-@_-"/>
    <numFmt numFmtId="165" formatCode="_(* #,##0_);_(* \(#,##0\);_(* &quot;-&quot;??_);_(@_)"/>
    <numFmt numFmtId="166" formatCode="\+#,##0_);\-#,##0"/>
    <numFmt numFmtId="167" formatCode="0.000"/>
    <numFmt numFmtId="168" formatCode="_(&quot;$&quot;* #,##0_);_(&quot;$&quot;* \(#,##0\);_(&quot;$&quot;* &quot;-&quot;??_);_(@_)"/>
    <numFmt numFmtId="169" formatCode="#,##0.000_);\(#,##0.000\)"/>
    <numFmt numFmtId="170" formatCode="0.0"/>
    <numFmt numFmtId="171" formatCode="#,##0;\(#,##0\)"/>
  </numFmts>
  <fonts count="15"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i/>
      <u/>
      <sz val="11"/>
      <color theme="1"/>
      <name val="Calibri"/>
      <family val="2"/>
      <scheme val="minor"/>
    </font>
    <font>
      <sz val="11"/>
      <color theme="0"/>
      <name val="Calibri"/>
      <family val="2"/>
      <scheme val="minor"/>
    </font>
    <font>
      <sz val="11"/>
      <color rgb="FFFF0000"/>
      <name val="Calibri"/>
      <family val="2"/>
      <scheme val="minor"/>
    </font>
    <font>
      <i/>
      <sz val="10"/>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206">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6" fontId="0" fillId="2" borderId="15" xfId="0" applyNumberFormat="1" applyFill="1" applyBorder="1" applyAlignment="1">
      <alignment horizontal="center"/>
    </xf>
    <xf numFmtId="166" fontId="0" fillId="2" borderId="2" xfId="0" applyNumberFormat="1" applyFill="1" applyBorder="1" applyAlignment="1">
      <alignment horizontal="center"/>
    </xf>
    <xf numFmtId="166"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5" fontId="0" fillId="2" borderId="6" xfId="1" applyNumberFormat="1" applyFont="1" applyFill="1" applyBorder="1" applyAlignment="1">
      <alignment horizontal="center" vertical="top"/>
    </xf>
    <xf numFmtId="165" fontId="0" fillId="2" borderId="12" xfId="1" applyNumberFormat="1" applyFont="1" applyFill="1" applyBorder="1" applyAlignment="1">
      <alignment horizontal="center" vertical="top"/>
    </xf>
    <xf numFmtId="165" fontId="1" fillId="2" borderId="15" xfId="1" applyNumberFormat="1" applyFont="1" applyFill="1" applyBorder="1" applyAlignment="1">
      <alignment horizontal="center" vertical="top"/>
    </xf>
    <xf numFmtId="165"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5" fontId="1" fillId="2" borderId="14" xfId="1" applyNumberFormat="1" applyFont="1" applyFill="1" applyBorder="1"/>
    <xf numFmtId="165"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5" fontId="1" fillId="2" borderId="15" xfId="1" applyNumberFormat="1" applyFont="1" applyFill="1" applyBorder="1" applyAlignment="1">
      <alignment horizontal="center"/>
    </xf>
    <xf numFmtId="165" fontId="1" fillId="2" borderId="9" xfId="1" applyNumberFormat="1" applyFont="1" applyFill="1" applyBorder="1" applyAlignment="1">
      <alignment horizontal="center"/>
    </xf>
    <xf numFmtId="165" fontId="4" fillId="2" borderId="2" xfId="1" applyNumberFormat="1" applyFont="1" applyFill="1" applyBorder="1" applyAlignment="1">
      <alignment horizontal="center"/>
    </xf>
    <xf numFmtId="165" fontId="0" fillId="2" borderId="2" xfId="1" applyNumberFormat="1" applyFont="1" applyFill="1" applyBorder="1" applyAlignment="1">
      <alignment horizontal="center"/>
    </xf>
    <xf numFmtId="165" fontId="0" fillId="2" borderId="9" xfId="1" applyNumberFormat="1" applyFont="1" applyFill="1" applyBorder="1" applyAlignment="1">
      <alignment horizontal="center"/>
    </xf>
    <xf numFmtId="165"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43" fontId="0" fillId="2" borderId="0" xfId="1" applyFont="1" applyFill="1" applyBorder="1" applyAlignment="1">
      <alignment horizontal="center" vertical="top"/>
    </xf>
    <xf numFmtId="0" fontId="0" fillId="2" borderId="3" xfId="0" applyFill="1" applyBorder="1" applyAlignment="1">
      <alignment horizontal="center"/>
    </xf>
    <xf numFmtId="166" fontId="0" fillId="2" borderId="0" xfId="0" applyNumberFormat="1" applyFill="1" applyAlignment="1">
      <alignment horizontal="center"/>
    </xf>
    <xf numFmtId="37" fontId="0" fillId="2" borderId="17" xfId="0" applyNumberFormat="1" applyFill="1" applyBorder="1" applyAlignment="1">
      <alignment horizontal="center"/>
    </xf>
    <xf numFmtId="167" fontId="1" fillId="2" borderId="17" xfId="0" applyNumberFormat="1" applyFont="1" applyFill="1" applyBorder="1" applyAlignment="1">
      <alignment horizontal="center"/>
    </xf>
    <xf numFmtId="165" fontId="4" fillId="2" borderId="0" xfId="0" applyNumberFormat="1" applyFont="1" applyFill="1"/>
    <xf numFmtId="165"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68" fontId="0" fillId="2" borderId="18" xfId="2" applyNumberFormat="1" applyFont="1" applyFill="1" applyBorder="1"/>
    <xf numFmtId="168" fontId="0" fillId="2" borderId="0" xfId="2" applyNumberFormat="1" applyFont="1" applyFill="1" applyBorder="1"/>
    <xf numFmtId="168" fontId="0" fillId="2" borderId="19" xfId="2" applyNumberFormat="1" applyFont="1" applyFill="1" applyBorder="1"/>
    <xf numFmtId="0" fontId="1" fillId="2" borderId="8" xfId="0" applyFont="1" applyFill="1" applyBorder="1"/>
    <xf numFmtId="165"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0" fontId="6" fillId="2" borderId="0" xfId="0" applyFont="1" applyFill="1" applyAlignment="1">
      <alignment horizontal="center" wrapText="1"/>
    </xf>
    <xf numFmtId="0" fontId="6" fillId="2" borderId="0" xfId="0" applyFont="1" applyFill="1"/>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69" fontId="1" fillId="2" borderId="0" xfId="0" applyNumberFormat="1" applyFont="1" applyFill="1"/>
    <xf numFmtId="0" fontId="0" fillId="0" borderId="0" xfId="0" applyAlignment="1">
      <alignment horizontal="left" vertical="top" wrapText="1"/>
    </xf>
    <xf numFmtId="0" fontId="0" fillId="2" borderId="0" xfId="0" applyFill="1" applyAlignment="1">
      <alignment horizontal="left" vertical="top" wrapText="1"/>
    </xf>
    <xf numFmtId="165" fontId="0" fillId="0" borderId="0" xfId="0" applyNumberFormat="1" applyAlignment="1">
      <alignment horizontal="center"/>
    </xf>
    <xf numFmtId="165" fontId="0" fillId="0" borderId="0" xfId="0" applyNumberFormat="1"/>
    <xf numFmtId="165"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167" fontId="0" fillId="2" borderId="0" xfId="0" applyNumberFormat="1" applyFill="1"/>
    <xf numFmtId="0" fontId="12" fillId="2" borderId="0" xfId="0" applyFont="1" applyFill="1"/>
    <xf numFmtId="170" fontId="12" fillId="2" borderId="0" xfId="0" applyNumberFormat="1" applyFont="1" applyFill="1"/>
    <xf numFmtId="0" fontId="1" fillId="4" borderId="0" xfId="0" applyFont="1" applyFill="1"/>
    <xf numFmtId="0" fontId="4" fillId="4" borderId="0" xfId="0" applyFont="1" applyFill="1"/>
    <xf numFmtId="0" fontId="0" fillId="4" borderId="0" xfId="0" applyFill="1"/>
    <xf numFmtId="171" fontId="0" fillId="2" borderId="7" xfId="0" applyNumberFormat="1" applyFill="1" applyBorder="1" applyAlignment="1">
      <alignment horizontal="center"/>
    </xf>
    <xf numFmtId="171" fontId="0" fillId="2" borderId="8" xfId="0" applyNumberFormat="1" applyFill="1" applyBorder="1" applyAlignment="1">
      <alignment horizontal="center"/>
    </xf>
    <xf numFmtId="171" fontId="1" fillId="2" borderId="9" xfId="0" applyNumberFormat="1" applyFont="1" applyFill="1" applyBorder="1" applyAlignment="1">
      <alignment horizontal="center"/>
    </xf>
    <xf numFmtId="171" fontId="0" fillId="2" borderId="0" xfId="2" applyNumberFormat="1" applyFont="1" applyFill="1" applyBorder="1"/>
    <xf numFmtId="171" fontId="0" fillId="2" borderId="7" xfId="2" applyNumberFormat="1" applyFont="1" applyFill="1" applyBorder="1"/>
    <xf numFmtId="171" fontId="0" fillId="2" borderId="9" xfId="0" applyNumberFormat="1" applyFill="1" applyBorder="1" applyAlignment="1">
      <alignment horizontal="center"/>
    </xf>
    <xf numFmtId="171" fontId="0" fillId="2" borderId="5" xfId="0" applyNumberFormat="1" applyFill="1" applyBorder="1" applyAlignment="1">
      <alignment horizontal="center"/>
    </xf>
    <xf numFmtId="171" fontId="1" fillId="2" borderId="8" xfId="0" applyNumberFormat="1" applyFont="1" applyFill="1" applyBorder="1" applyAlignment="1">
      <alignment horizontal="center"/>
    </xf>
    <xf numFmtId="165" fontId="0" fillId="2" borderId="0" xfId="1" applyNumberFormat="1" applyFont="1" applyFill="1"/>
    <xf numFmtId="164" fontId="0" fillId="0" borderId="0" xfId="0" applyNumberFormat="1"/>
    <xf numFmtId="17" fontId="9" fillId="2" borderId="0" xfId="0" applyNumberFormat="1" applyFont="1" applyFill="1"/>
    <xf numFmtId="9" fontId="0" fillId="2" borderId="0" xfId="0" applyNumberFormat="1" applyFill="1"/>
    <xf numFmtId="10" fontId="0" fillId="2" borderId="0" xfId="4" applyNumberFormat="1" applyFont="1" applyFill="1"/>
    <xf numFmtId="2" fontId="0" fillId="2" borderId="0" xfId="0" applyNumberFormat="1" applyFill="1"/>
    <xf numFmtId="170" fontId="9" fillId="2" borderId="0" xfId="0" applyNumberFormat="1" applyFont="1" applyFill="1"/>
    <xf numFmtId="3" fontId="0" fillId="2" borderId="0" xfId="0" applyNumberFormat="1" applyFill="1" applyAlignment="1">
      <alignment horizontal="center" vertical="center"/>
    </xf>
    <xf numFmtId="0" fontId="13" fillId="2" borderId="0" xfId="0" applyFont="1" applyFill="1"/>
    <xf numFmtId="37" fontId="0" fillId="2" borderId="0" xfId="0" applyNumberFormat="1" applyFill="1" applyAlignment="1">
      <alignment vertical="center"/>
    </xf>
    <xf numFmtId="1" fontId="0" fillId="0" borderId="0" xfId="0" applyNumberFormat="1"/>
    <xf numFmtId="3" fontId="4" fillId="2" borderId="0" xfId="0" applyNumberFormat="1" applyFont="1" applyFill="1" applyAlignment="1">
      <alignment horizontal="center" vertical="center"/>
    </xf>
    <xf numFmtId="0" fontId="10" fillId="2" borderId="0" xfId="0" applyFont="1" applyFill="1"/>
    <xf numFmtId="166"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6" fontId="9" fillId="2" borderId="0" xfId="0" applyNumberFormat="1" applyFont="1" applyFill="1" applyAlignment="1">
      <alignment horizontal="center"/>
    </xf>
    <xf numFmtId="0" fontId="10" fillId="2" borderId="0" xfId="0" applyFont="1" applyFill="1" applyAlignment="1">
      <alignment horizontal="left"/>
    </xf>
    <xf numFmtId="0" fontId="4" fillId="2" borderId="0" xfId="0" applyFont="1" applyFill="1" applyAlignment="1">
      <alignment horizontal="right"/>
    </xf>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37" fontId="0" fillId="2" borderId="0" xfId="0" applyNumberFormat="1" applyFill="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0" fillId="2" borderId="0" xfId="0" applyFill="1" applyAlignment="1">
      <alignment horizontal="center"/>
    </xf>
    <xf numFmtId="169" fontId="1" fillId="2" borderId="0" xfId="0" applyNumberFormat="1" applyFont="1" applyFill="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169" fontId="1" fillId="0" borderId="0" xfId="0" applyNumberFormat="1" applyFont="1" applyAlignment="1">
      <alignment horizontal="center"/>
    </xf>
    <xf numFmtId="0" fontId="11" fillId="2" borderId="0" xfId="0" applyFont="1" applyFill="1" applyAlignment="1">
      <alignment horizontal="center"/>
    </xf>
    <xf numFmtId="0" fontId="0" fillId="2" borderId="0" xfId="0" applyFill="1" applyAlignment="1">
      <alignment horizontal="left" vertical="top" wrapText="1"/>
    </xf>
    <xf numFmtId="0" fontId="1" fillId="2" borderId="11" xfId="0" applyFont="1" applyFill="1" applyBorder="1" applyAlignment="1">
      <alignment horizontal="center"/>
    </xf>
    <xf numFmtId="0" fontId="1" fillId="4" borderId="0" xfId="0" applyFont="1" applyFill="1" applyAlignment="1">
      <alignment horizontal="center" vertical="top"/>
    </xf>
    <xf numFmtId="0" fontId="1" fillId="4" borderId="0" xfId="0" applyFont="1" applyFill="1" applyAlignment="1">
      <alignment horizontal="left" vertical="top" wrapText="1"/>
    </xf>
    <xf numFmtId="0" fontId="1" fillId="4" borderId="0" xfId="0" applyFont="1" applyFill="1" applyAlignment="1">
      <alignment vertical="top"/>
    </xf>
    <xf numFmtId="0" fontId="14" fillId="2" borderId="0" xfId="0" applyFont="1" applyFill="1"/>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G17" sqref="G17"/>
    </sheetView>
  </sheetViews>
  <sheetFormatPr defaultRowHeight="15.6" customHeight="1" x14ac:dyDescent="0.3"/>
  <cols>
    <col min="1" max="1" width="41" customWidth="1"/>
    <col min="2" max="3" width="12.6640625" style="3" customWidth="1"/>
    <col min="4" max="4" width="10.109375" bestFit="1" customWidth="1"/>
  </cols>
  <sheetData>
    <row r="1" spans="1:4" ht="15.6" customHeight="1" x14ac:dyDescent="0.3">
      <c r="A1" s="162" t="s">
        <v>109</v>
      </c>
      <c r="B1" s="163"/>
      <c r="C1" s="164"/>
    </row>
    <row r="2" spans="1:4" ht="15.6" customHeight="1" x14ac:dyDescent="0.3">
      <c r="A2" s="22" t="s">
        <v>110</v>
      </c>
      <c r="B2" s="9" t="s">
        <v>13</v>
      </c>
      <c r="C2" s="21" t="s">
        <v>14</v>
      </c>
    </row>
    <row r="3" spans="1:4" ht="15.6" customHeight="1" x14ac:dyDescent="0.3">
      <c r="A3" s="4" t="s">
        <v>2</v>
      </c>
      <c r="B3" s="24">
        <v>387216</v>
      </c>
      <c r="C3" s="25"/>
    </row>
    <row r="4" spans="1:4" ht="15.6" customHeight="1" x14ac:dyDescent="0.3">
      <c r="A4" s="4" t="s">
        <v>38</v>
      </c>
      <c r="B4" s="24">
        <v>37100</v>
      </c>
      <c r="C4" s="25"/>
      <c r="D4" s="116"/>
    </row>
    <row r="5" spans="1:4" ht="15.6" customHeight="1" x14ac:dyDescent="0.3">
      <c r="A5" s="4" t="s">
        <v>18</v>
      </c>
      <c r="B5" s="24">
        <f>2200*9</f>
        <v>19800</v>
      </c>
      <c r="C5" s="25"/>
    </row>
    <row r="6" spans="1:4" ht="15.6" customHeight="1" x14ac:dyDescent="0.3">
      <c r="A6" s="4" t="s">
        <v>4</v>
      </c>
      <c r="B6" s="24">
        <v>84000</v>
      </c>
      <c r="C6" s="25"/>
    </row>
    <row r="7" spans="1:4" ht="15.6" customHeight="1" x14ac:dyDescent="0.3">
      <c r="A7" s="4" t="s">
        <v>7</v>
      </c>
      <c r="B7" s="24"/>
      <c r="C7" s="25">
        <v>23400</v>
      </c>
    </row>
    <row r="8" spans="1:4" ht="15.6" customHeight="1" x14ac:dyDescent="0.3">
      <c r="A8" s="4" t="s">
        <v>43</v>
      </c>
      <c r="B8" s="24"/>
      <c r="C8" s="25">
        <v>14500</v>
      </c>
    </row>
    <row r="9" spans="1:4" ht="15.6" customHeight="1" x14ac:dyDescent="0.3">
      <c r="A9" s="4" t="s">
        <v>6</v>
      </c>
      <c r="B9" s="24"/>
      <c r="C9" s="25">
        <v>50000</v>
      </c>
    </row>
    <row r="10" spans="1:4" ht="15.6" customHeight="1" x14ac:dyDescent="0.3">
      <c r="A10" s="4" t="s">
        <v>103</v>
      </c>
      <c r="B10" s="24"/>
      <c r="C10" s="25">
        <v>200000</v>
      </c>
    </row>
    <row r="11" spans="1:4" ht="15.6" customHeight="1" x14ac:dyDescent="0.3">
      <c r="A11" s="4" t="s">
        <v>108</v>
      </c>
      <c r="B11" s="24"/>
      <c r="C11" s="25">
        <v>200000</v>
      </c>
    </row>
    <row r="12" spans="1:4" ht="15.6" customHeight="1" x14ac:dyDescent="0.3">
      <c r="A12" s="4" t="s">
        <v>112</v>
      </c>
      <c r="B12" s="24"/>
      <c r="C12" s="25">
        <v>5230</v>
      </c>
    </row>
    <row r="13" spans="1:4" ht="15.6" customHeight="1" x14ac:dyDescent="0.3">
      <c r="A13" s="4" t="s">
        <v>50</v>
      </c>
      <c r="B13" s="24"/>
      <c r="C13" s="25">
        <v>212300</v>
      </c>
      <c r="D13" s="144"/>
    </row>
    <row r="14" spans="1:4" ht="15.6" customHeight="1" x14ac:dyDescent="0.3">
      <c r="A14" s="4" t="s">
        <v>5</v>
      </c>
      <c r="B14" s="24">
        <f>C13*0.38</f>
        <v>80674</v>
      </c>
      <c r="C14" s="25"/>
    </row>
    <row r="15" spans="1:4" ht="15.6" customHeight="1" x14ac:dyDescent="0.3">
      <c r="A15" s="4" t="s">
        <v>16</v>
      </c>
      <c r="B15" s="25">
        <f>2200*3</f>
        <v>6600</v>
      </c>
      <c r="C15" s="25"/>
    </row>
    <row r="16" spans="1:4" ht="15.6" customHeight="1" x14ac:dyDescent="0.3">
      <c r="A16" s="4" t="s">
        <v>31</v>
      </c>
      <c r="B16" s="25">
        <v>13000</v>
      </c>
      <c r="C16" s="25"/>
    </row>
    <row r="17" spans="1:4" ht="15.6" customHeight="1" x14ac:dyDescent="0.3">
      <c r="A17" s="4" t="s">
        <v>17</v>
      </c>
      <c r="B17" s="25">
        <f>7700*9</f>
        <v>69300</v>
      </c>
      <c r="C17" s="25"/>
    </row>
    <row r="18" spans="1:4" ht="15.6" customHeight="1" x14ac:dyDescent="0.3">
      <c r="A18" s="4" t="s">
        <v>32</v>
      </c>
      <c r="B18" s="24">
        <f>860*9</f>
        <v>7740</v>
      </c>
      <c r="C18" s="25"/>
    </row>
    <row r="19" spans="1:4" ht="15.6" customHeight="1" x14ac:dyDescent="0.3">
      <c r="A19" s="23"/>
      <c r="B19" s="26">
        <f>SUM(B3:B18)</f>
        <v>705430</v>
      </c>
      <c r="C19" s="27">
        <f>SUM(C3:C18)</f>
        <v>705430</v>
      </c>
      <c r="D19" s="116"/>
    </row>
    <row r="20" spans="1:4" ht="15.6" customHeight="1" x14ac:dyDescent="0.3">
      <c r="A20" t="s">
        <v>90</v>
      </c>
      <c r="B20" s="115">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2"/>
  <sheetViews>
    <sheetView zoomScaleNormal="100" workbookViewId="0">
      <selection activeCell="D19" sqref="D19"/>
    </sheetView>
  </sheetViews>
  <sheetFormatPr defaultColWidth="8.88671875" defaultRowHeight="14.4" x14ac:dyDescent="0.3"/>
  <cols>
    <col min="1" max="1" width="21.6640625" style="1" customWidth="1"/>
    <col min="2" max="2" width="17.44140625" style="31" customWidth="1"/>
    <col min="3" max="3" width="2.33203125" style="31" customWidth="1"/>
    <col min="4" max="4" width="17.44140625" style="31" customWidth="1"/>
    <col min="5" max="5" width="2.33203125" style="31" customWidth="1"/>
    <col min="6" max="6" width="17.44140625" style="31" customWidth="1"/>
    <col min="7" max="7" width="11.77734375" style="1" bestFit="1" customWidth="1"/>
    <col min="8" max="8" width="5.109375" style="1" customWidth="1"/>
    <col min="9" max="9" width="5.77734375" style="1" customWidth="1"/>
    <col min="10" max="10" width="26.21875" style="31" customWidth="1"/>
    <col min="11" max="11" width="15" style="31" customWidth="1"/>
    <col min="12" max="12" width="16.5546875" style="1" customWidth="1"/>
    <col min="13" max="13" width="5.6640625" style="1" customWidth="1"/>
    <col min="14" max="14" width="41.77734375" style="58" customWidth="1"/>
    <col min="15" max="16" width="11" style="1" customWidth="1"/>
    <col min="17" max="17" width="6.33203125" style="1" customWidth="1"/>
    <col min="18" max="21" width="11" style="1" customWidth="1"/>
    <col min="22" max="22" width="6.21875" style="58" customWidth="1"/>
    <col min="23" max="23" width="19.6640625" style="1" customWidth="1"/>
    <col min="24" max="24" width="13" style="1" customWidth="1"/>
    <col min="25" max="16384" width="8.88671875" style="1"/>
  </cols>
  <sheetData>
    <row r="1" spans="1:24" ht="18" x14ac:dyDescent="0.35">
      <c r="A1" s="67" t="s">
        <v>39</v>
      </c>
      <c r="H1" s="67"/>
      <c r="I1" s="67"/>
      <c r="N1" s="67"/>
    </row>
    <row r="2" spans="1:24" x14ac:dyDescent="0.3">
      <c r="A2" s="6" t="s">
        <v>25</v>
      </c>
      <c r="B2" s="69"/>
      <c r="C2" s="69"/>
      <c r="D2" s="69"/>
      <c r="E2" s="69"/>
      <c r="F2" s="69"/>
      <c r="H2" s="6" t="s">
        <v>26</v>
      </c>
      <c r="I2" s="6"/>
      <c r="J2" s="69"/>
      <c r="K2" s="69"/>
      <c r="L2" s="7"/>
      <c r="N2" s="6" t="s">
        <v>92</v>
      </c>
      <c r="W2" s="6" t="s">
        <v>27</v>
      </c>
      <c r="X2" s="6"/>
    </row>
    <row r="3" spans="1:24" ht="14.55" customHeight="1" x14ac:dyDescent="0.3">
      <c r="A3" s="29" t="s">
        <v>37</v>
      </c>
      <c r="B3" s="12"/>
      <c r="C3" s="12"/>
      <c r="D3" s="12"/>
      <c r="E3" s="12"/>
      <c r="F3" s="78"/>
      <c r="H3" s="29" t="s">
        <v>15</v>
      </c>
      <c r="I3" s="30"/>
      <c r="J3" s="12"/>
      <c r="K3" s="10" t="s">
        <v>13</v>
      </c>
      <c r="L3" s="11" t="s">
        <v>14</v>
      </c>
      <c r="M3" s="34"/>
      <c r="N3" s="165" t="s">
        <v>93</v>
      </c>
      <c r="O3" s="165"/>
      <c r="P3" s="165"/>
      <c r="Q3" s="165"/>
      <c r="R3" s="165"/>
      <c r="S3" s="165"/>
      <c r="T3" s="165"/>
      <c r="U3" s="165"/>
      <c r="V3" s="70"/>
      <c r="W3" s="66" t="s">
        <v>11</v>
      </c>
      <c r="X3" s="74">
        <f>D22</f>
        <v>116350</v>
      </c>
    </row>
    <row r="4" spans="1:24" x14ac:dyDescent="0.3">
      <c r="A4" s="8"/>
      <c r="B4" s="9" t="s">
        <v>8</v>
      </c>
      <c r="C4" s="10" t="s">
        <v>35</v>
      </c>
      <c r="D4" s="10" t="s">
        <v>10</v>
      </c>
      <c r="E4" s="10" t="s">
        <v>36</v>
      </c>
      <c r="F4" s="11" t="s">
        <v>12</v>
      </c>
      <c r="H4" s="4"/>
      <c r="L4" s="32"/>
      <c r="M4" s="32"/>
      <c r="N4" s="166" t="s">
        <v>96</v>
      </c>
      <c r="O4" s="168" t="s">
        <v>114</v>
      </c>
      <c r="P4" s="169"/>
      <c r="Q4" s="170" t="s">
        <v>116</v>
      </c>
      <c r="R4" s="170"/>
      <c r="S4" s="171"/>
      <c r="T4" s="168" t="s">
        <v>115</v>
      </c>
      <c r="U4" s="169"/>
      <c r="W4" s="66" t="s">
        <v>9</v>
      </c>
      <c r="X4" s="74">
        <f>B22</f>
        <v>831396</v>
      </c>
    </row>
    <row r="5" spans="1:24" x14ac:dyDescent="0.3">
      <c r="A5" s="16" t="s">
        <v>118</v>
      </c>
      <c r="B5" s="17">
        <f>SUM('TB @ 30 Sept 2025'!B3:B6)</f>
        <v>528116</v>
      </c>
      <c r="C5" s="10" t="str">
        <f>C4</f>
        <v>=</v>
      </c>
      <c r="D5" s="18">
        <f>SUM('TB @ 30 Sept 2025'!C7:C9)</f>
        <v>87900</v>
      </c>
      <c r="E5" s="10" t="str">
        <f>E4</f>
        <v>+</v>
      </c>
      <c r="F5" s="19">
        <f>SUM('TB @ 30 Sept 2025'!C10:C18)-SUM('TB @ 30 Sept 2025'!B10:B18)</f>
        <v>440216</v>
      </c>
      <c r="G5" s="71">
        <f>B5-D5-F5</f>
        <v>0</v>
      </c>
      <c r="H5" s="33" t="s">
        <v>19</v>
      </c>
      <c r="I5" s="28" t="s">
        <v>2</v>
      </c>
      <c r="J5" s="34"/>
      <c r="K5" s="35">
        <v>250000</v>
      </c>
      <c r="L5" s="36"/>
      <c r="M5" s="36"/>
      <c r="N5" s="167"/>
      <c r="O5" s="82" t="s">
        <v>13</v>
      </c>
      <c r="P5" s="81" t="s">
        <v>14</v>
      </c>
      <c r="Q5" s="44" t="s">
        <v>46</v>
      </c>
      <c r="R5" s="44" t="s">
        <v>13</v>
      </c>
      <c r="S5" s="45" t="s">
        <v>14</v>
      </c>
      <c r="T5" s="80" t="s">
        <v>13</v>
      </c>
      <c r="U5" s="81" t="s">
        <v>14</v>
      </c>
      <c r="W5" s="23" t="s">
        <v>30</v>
      </c>
      <c r="X5" s="75">
        <f>X3/X4</f>
        <v>0.13994534493791166</v>
      </c>
    </row>
    <row r="6" spans="1:24" x14ac:dyDescent="0.3">
      <c r="A6" s="118" t="str">
        <f>H5</f>
        <v>(a)</v>
      </c>
      <c r="B6" s="13">
        <f>K5</f>
        <v>250000</v>
      </c>
      <c r="C6" s="12" t="str">
        <f t="shared" ref="C6:C21" si="0">C5</f>
        <v>=</v>
      </c>
      <c r="D6" s="14"/>
      <c r="E6" s="12" t="str">
        <f t="shared" ref="E6:E19" si="1">E5</f>
        <v>+</v>
      </c>
      <c r="F6" s="15">
        <f>L6</f>
        <v>250000</v>
      </c>
      <c r="G6" s="71"/>
      <c r="H6" s="37"/>
      <c r="I6" s="28"/>
      <c r="J6" s="28" t="s">
        <v>103</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
      <c r="A7" s="118"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77</v>
      </c>
      <c r="X7" s="143">
        <f>'TB @ 31 Dec 2024'!B13</f>
        <v>473830</v>
      </c>
    </row>
    <row r="8" spans="1:24" x14ac:dyDescent="0.3">
      <c r="A8" s="118" t="str">
        <f>H11</f>
        <v xml:space="preserve">(c) </v>
      </c>
      <c r="B8" s="13">
        <f>K11</f>
        <v>65000</v>
      </c>
      <c r="C8" s="12" t="str">
        <f t="shared" si="0"/>
        <v>=</v>
      </c>
      <c r="D8" s="14"/>
      <c r="E8" s="12" t="str">
        <f t="shared" si="1"/>
        <v>+</v>
      </c>
      <c r="F8" s="15"/>
      <c r="G8" s="71"/>
      <c r="H8" s="37" t="s">
        <v>20</v>
      </c>
      <c r="I8" s="28" t="s">
        <v>2</v>
      </c>
      <c r="J8" s="28"/>
      <c r="K8" s="35">
        <v>30000</v>
      </c>
      <c r="L8" s="36"/>
      <c r="M8" s="28"/>
      <c r="N8" s="51"/>
      <c r="O8" s="37"/>
      <c r="P8" s="36"/>
      <c r="Q8" s="48" t="str">
        <f>H11</f>
        <v xml:space="preserve">(c) </v>
      </c>
      <c r="R8" s="49"/>
      <c r="S8" s="52">
        <f>L12</f>
        <v>65000</v>
      </c>
      <c r="T8" s="28"/>
      <c r="U8" s="36"/>
    </row>
    <row r="9" spans="1:24" x14ac:dyDescent="0.3">
      <c r="A9" s="118"/>
      <c r="B9" s="13">
        <f>-L12</f>
        <v>-65000</v>
      </c>
      <c r="C9" s="12" t="str">
        <f t="shared" si="0"/>
        <v>=</v>
      </c>
      <c r="D9" s="14"/>
      <c r="E9" s="12" t="str">
        <f t="shared" si="1"/>
        <v>+</v>
      </c>
      <c r="F9" s="15"/>
      <c r="G9" s="71"/>
      <c r="H9" s="37"/>
      <c r="I9" s="28"/>
      <c r="J9" s="28" t="s">
        <v>111</v>
      </c>
      <c r="K9" s="28"/>
      <c r="L9" s="38">
        <f>K8</f>
        <v>30000</v>
      </c>
      <c r="M9" s="28"/>
      <c r="N9" s="51"/>
      <c r="O9" s="37"/>
      <c r="P9" s="36"/>
      <c r="Q9" s="48" t="str">
        <f>H14</f>
        <v>(d)</v>
      </c>
      <c r="R9" s="49">
        <f>K14</f>
        <v>35000</v>
      </c>
      <c r="S9" s="52"/>
      <c r="T9" s="28"/>
      <c r="U9" s="36"/>
      <c r="V9" s="49"/>
      <c r="W9" s="66" t="s">
        <v>95</v>
      </c>
      <c r="X9" s="74">
        <f>U30-(SUM(T31:T35))</f>
        <v>59816</v>
      </c>
    </row>
    <row r="10" spans="1:24" x14ac:dyDescent="0.3">
      <c r="A10" s="118"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79</v>
      </c>
      <c r="X10" s="74">
        <f>(X4+X7)/2</f>
        <v>652613</v>
      </c>
    </row>
    <row r="11" spans="1:24" x14ac:dyDescent="0.3">
      <c r="A11" s="118"/>
      <c r="B11" s="13">
        <f>K15</f>
        <v>61000</v>
      </c>
      <c r="C11" s="12"/>
      <c r="D11" s="14"/>
      <c r="E11" s="12"/>
      <c r="F11" s="15"/>
      <c r="G11" s="71"/>
      <c r="H11" s="39" t="s">
        <v>21</v>
      </c>
      <c r="I11" s="28" t="s">
        <v>4</v>
      </c>
      <c r="J11" s="28"/>
      <c r="K11" s="35">
        <v>65000</v>
      </c>
      <c r="L11" s="36"/>
      <c r="M11" s="28"/>
      <c r="N11" s="51"/>
      <c r="O11" s="37"/>
      <c r="P11" s="36"/>
      <c r="Q11" s="48" t="str">
        <f>H24</f>
        <v>(f)</v>
      </c>
      <c r="S11" s="52">
        <f>L25</f>
        <v>22300</v>
      </c>
      <c r="T11" s="28"/>
      <c r="U11" s="36"/>
      <c r="W11" s="23" t="s">
        <v>76</v>
      </c>
      <c r="X11" s="75">
        <f>X9/X10</f>
        <v>9.1656157630939011E-2</v>
      </c>
    </row>
    <row r="12" spans="1:24" x14ac:dyDescent="0.3">
      <c r="A12" s="119"/>
      <c r="B12" s="13">
        <f>-L19</f>
        <v>-30720</v>
      </c>
      <c r="C12" s="12" t="str">
        <f>C10</f>
        <v>=</v>
      </c>
      <c r="D12" s="14"/>
      <c r="E12" s="12" t="str">
        <f>E10</f>
        <v>+</v>
      </c>
      <c r="F12" s="15">
        <f>-K18</f>
        <v>-30720</v>
      </c>
      <c r="G12" s="71"/>
      <c r="H12" s="37"/>
      <c r="I12" s="28"/>
      <c r="J12" s="28" t="s">
        <v>91</v>
      </c>
      <c r="K12" s="28"/>
      <c r="L12" s="38">
        <f>K11</f>
        <v>65000</v>
      </c>
      <c r="M12" s="35"/>
      <c r="N12" s="51"/>
      <c r="O12" s="37"/>
      <c r="P12" s="36"/>
      <c r="Q12" s="48" t="str">
        <f>H27</f>
        <v>(g)</v>
      </c>
      <c r="S12" s="52">
        <f>L28</f>
        <v>19200</v>
      </c>
      <c r="T12" s="28"/>
      <c r="U12" s="36"/>
      <c r="V12" s="49"/>
    </row>
    <row r="13" spans="1:24" x14ac:dyDescent="0.3">
      <c r="A13" s="119"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
      <c r="A14" s="119"/>
      <c r="B14" s="13">
        <f>-L22</f>
        <v>-64300</v>
      </c>
      <c r="C14" s="12" t="str">
        <f t="shared" si="0"/>
        <v>=</v>
      </c>
      <c r="D14" s="14"/>
      <c r="E14" s="12" t="str">
        <f t="shared" si="1"/>
        <v>+</v>
      </c>
      <c r="F14" s="68"/>
      <c r="G14" s="71"/>
      <c r="H14" s="33" t="s">
        <v>22</v>
      </c>
      <c r="I14" s="28" t="s">
        <v>2</v>
      </c>
      <c r="J14" s="28"/>
      <c r="K14" s="35">
        <v>35000</v>
      </c>
      <c r="L14" s="36"/>
      <c r="M14" s="28"/>
      <c r="N14" s="79"/>
      <c r="O14" s="37"/>
      <c r="P14" s="36"/>
      <c r="Q14" s="48" t="str">
        <f>H33</f>
        <v>(i)</v>
      </c>
      <c r="R14" s="53"/>
      <c r="S14" s="52">
        <f>L34</f>
        <v>5500</v>
      </c>
      <c r="T14" s="28"/>
      <c r="U14" s="36"/>
    </row>
    <row r="15" spans="1:24" x14ac:dyDescent="0.3">
      <c r="A15" s="119" t="str">
        <f>H24</f>
        <v>(f)</v>
      </c>
      <c r="B15" s="13">
        <f>-L25</f>
        <v>-22300</v>
      </c>
      <c r="C15" s="12" t="str">
        <f t="shared" si="0"/>
        <v>=</v>
      </c>
      <c r="D15" s="14"/>
      <c r="E15" s="12" t="str">
        <f t="shared" si="1"/>
        <v>+</v>
      </c>
      <c r="F15" s="15">
        <f>-K24</f>
        <v>-22300</v>
      </c>
      <c r="G15" s="71"/>
      <c r="H15" s="37"/>
      <c r="I15" s="28" t="s">
        <v>38</v>
      </c>
      <c r="J15" s="28"/>
      <c r="K15" s="35">
        <f>L16-K14</f>
        <v>61000</v>
      </c>
      <c r="L15" s="38"/>
      <c r="M15" s="35"/>
      <c r="N15" s="51"/>
      <c r="O15" s="37"/>
      <c r="P15" s="36"/>
      <c r="Q15" s="48" t="str">
        <f>H36</f>
        <v>(j)</v>
      </c>
      <c r="R15" s="53">
        <f>K36</f>
        <v>5000</v>
      </c>
      <c r="S15" s="52"/>
      <c r="T15" s="28"/>
      <c r="U15" s="36"/>
      <c r="V15" s="49"/>
    </row>
    <row r="16" spans="1:24" x14ac:dyDescent="0.3">
      <c r="A16" s="119" t="str">
        <f>H27</f>
        <v>(g)</v>
      </c>
      <c r="B16" s="13">
        <f>-L28</f>
        <v>-19200</v>
      </c>
      <c r="C16" s="12" t="str">
        <f t="shared" si="0"/>
        <v>=</v>
      </c>
      <c r="D16" s="14">
        <f>-K27</f>
        <v>-19200</v>
      </c>
      <c r="E16" s="12" t="str">
        <f t="shared" si="1"/>
        <v>+</v>
      </c>
      <c r="F16" s="68"/>
      <c r="G16" s="71"/>
      <c r="H16" s="37"/>
      <c r="I16" s="28"/>
      <c r="J16" s="28" t="s">
        <v>50</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
      <c r="A17" s="119"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49"/>
      <c r="W17" s="130"/>
    </row>
    <row r="18" spans="1:30" x14ac:dyDescent="0.3">
      <c r="A18" s="119"/>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W18" s="130"/>
      <c r="AD18" s="53"/>
    </row>
    <row r="19" spans="1:30" x14ac:dyDescent="0.3">
      <c r="A19" s="119"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W19" s="131"/>
    </row>
    <row r="20" spans="1:30" x14ac:dyDescent="0.3">
      <c r="A20" s="122"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49"/>
      <c r="W20" s="149"/>
      <c r="AA20" s="53"/>
    </row>
    <row r="21" spans="1:30" x14ac:dyDescent="0.3">
      <c r="A21" s="122" t="str">
        <f>H39</f>
        <v>(k)</v>
      </c>
      <c r="B21" s="13"/>
      <c r="C21" s="12" t="str">
        <f t="shared" si="0"/>
        <v>=</v>
      </c>
      <c r="D21" s="14">
        <f>L40</f>
        <v>12650</v>
      </c>
      <c r="E21" s="12"/>
      <c r="F21" s="15">
        <f>-K39</f>
        <v>-12650</v>
      </c>
      <c r="H21" s="37" t="s">
        <v>23</v>
      </c>
      <c r="I21" s="28" t="s">
        <v>2</v>
      </c>
      <c r="J21" s="28"/>
      <c r="K21" s="35">
        <v>64300</v>
      </c>
      <c r="L21" s="38"/>
      <c r="M21" s="35"/>
      <c r="N21" s="37" t="s">
        <v>119</v>
      </c>
      <c r="O21" s="46">
        <v>0</v>
      </c>
      <c r="P21" s="47"/>
      <c r="Q21" s="48" t="str">
        <f>H30</f>
        <v>(h)</v>
      </c>
      <c r="R21" s="49">
        <f>K30</f>
        <v>300000</v>
      </c>
      <c r="S21" s="50"/>
      <c r="T21" s="35">
        <f>O21+R21-S21</f>
        <v>300000</v>
      </c>
      <c r="U21" s="36"/>
      <c r="W21" s="130"/>
    </row>
    <row r="22" spans="1:30" x14ac:dyDescent="0.3">
      <c r="A22" s="20" t="s">
        <v>117</v>
      </c>
      <c r="B22" s="17">
        <f>SUM(B5:B21)</f>
        <v>831396</v>
      </c>
      <c r="C22" s="120" t="s">
        <v>35</v>
      </c>
      <c r="D22" s="18">
        <f>SUM(D5:D21)</f>
        <v>116350</v>
      </c>
      <c r="E22" s="120" t="s">
        <v>36</v>
      </c>
      <c r="F22" s="19">
        <f>SUM(F5:F21)</f>
        <v>715046</v>
      </c>
      <c r="G22" s="160"/>
      <c r="H22" s="37"/>
      <c r="I22" s="28"/>
      <c r="J22" s="28" t="s">
        <v>38</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W22" s="130"/>
    </row>
    <row r="23" spans="1:30" x14ac:dyDescent="0.3">
      <c r="A23" s="72"/>
      <c r="H23" s="33"/>
      <c r="I23" s="28"/>
      <c r="J23" s="28"/>
      <c r="K23" s="35"/>
      <c r="L23" s="36"/>
      <c r="M23" s="35"/>
      <c r="N23" s="37"/>
      <c r="O23" s="46"/>
      <c r="P23" s="56"/>
      <c r="Q23" s="48" t="str">
        <f>H39</f>
        <v>(k)</v>
      </c>
      <c r="R23" s="49"/>
      <c r="S23" s="54">
        <f>L40</f>
        <v>12650</v>
      </c>
      <c r="T23" s="28"/>
      <c r="U23" s="38"/>
      <c r="V23" s="49"/>
      <c r="W23" s="130"/>
    </row>
    <row r="24" spans="1:30" x14ac:dyDescent="0.3">
      <c r="A24" s="155" t="s">
        <v>156</v>
      </c>
      <c r="B24" s="156">
        <f>SUM(T6:T21)</f>
        <v>831396</v>
      </c>
      <c r="C24" s="157"/>
      <c r="D24" s="156">
        <f>SUM(U22:U26)</f>
        <v>116350</v>
      </c>
      <c r="E24" s="157"/>
      <c r="F24" s="156">
        <f>SUM(U27:U36)-SUM(T27:T36)</f>
        <v>715046</v>
      </c>
      <c r="H24" s="40" t="s">
        <v>33</v>
      </c>
      <c r="I24" s="28" t="s">
        <v>17</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W24" s="130"/>
    </row>
    <row r="25" spans="1:30" x14ac:dyDescent="0.3">
      <c r="A25" s="158"/>
      <c r="B25" s="156">
        <f>B22-B24</f>
        <v>0</v>
      </c>
      <c r="C25" s="158"/>
      <c r="D25" s="156">
        <f>D22-D24</f>
        <v>0</v>
      </c>
      <c r="E25" s="159"/>
      <c r="F25" s="156">
        <f>F22-F24</f>
        <v>0</v>
      </c>
      <c r="H25" s="37"/>
      <c r="I25" s="28"/>
      <c r="J25" s="28" t="s">
        <v>2</v>
      </c>
      <c r="K25" s="28"/>
      <c r="L25" s="38">
        <f>K24</f>
        <v>22300</v>
      </c>
      <c r="M25" s="28"/>
      <c r="N25" s="37" t="s">
        <v>111</v>
      </c>
      <c r="O25" s="46"/>
      <c r="P25" s="56">
        <v>0</v>
      </c>
      <c r="Q25" s="48" t="str">
        <f>H8</f>
        <v>(b)</v>
      </c>
      <c r="R25" s="49"/>
      <c r="S25" s="54">
        <f>L9</f>
        <v>30000</v>
      </c>
      <c r="T25" s="28"/>
      <c r="U25" s="38">
        <f t="shared" si="2"/>
        <v>30000</v>
      </c>
      <c r="W25" s="145"/>
      <c r="X25" s="146"/>
      <c r="Y25" s="129"/>
    </row>
    <row r="26" spans="1:30" x14ac:dyDescent="0.3">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W26" s="145"/>
      <c r="Y26" s="148"/>
      <c r="AA26" s="147"/>
    </row>
    <row r="27" spans="1:30" x14ac:dyDescent="0.3">
      <c r="H27" s="37" t="s">
        <v>24</v>
      </c>
      <c r="I27" s="28" t="s">
        <v>7</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W27" s="130"/>
    </row>
    <row r="28" spans="1:30" x14ac:dyDescent="0.3">
      <c r="H28" s="37"/>
      <c r="I28" s="28"/>
      <c r="J28" s="28" t="s">
        <v>2</v>
      </c>
      <c r="K28" s="28"/>
      <c r="L28" s="38">
        <f>K27</f>
        <v>19200</v>
      </c>
      <c r="M28" s="28"/>
      <c r="N28" s="37" t="str">
        <f>'TB @ 30 Sept 2025'!A11</f>
        <v>Share Capital - Preference Shares (cumulative)</v>
      </c>
      <c r="O28" s="46"/>
      <c r="P28" s="56">
        <f>'TB @ 30 Sept 2025'!C11</f>
        <v>200000</v>
      </c>
      <c r="Q28" s="48"/>
      <c r="R28" s="58"/>
      <c r="S28" s="54"/>
      <c r="T28" s="28"/>
      <c r="U28" s="38">
        <f t="shared" si="2"/>
        <v>200000</v>
      </c>
    </row>
    <row r="29" spans="1:30" x14ac:dyDescent="0.3">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
      <c r="H30" s="37" t="s">
        <v>34</v>
      </c>
      <c r="I30" s="28" t="s">
        <v>119</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
      <c r="H33" s="37" t="s">
        <v>72</v>
      </c>
      <c r="I33" s="28" t="s">
        <v>31</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
      <c r="H35" s="4"/>
      <c r="J35" s="28"/>
      <c r="L35" s="38"/>
      <c r="M35" s="117"/>
      <c r="N35" s="37" t="str">
        <f>'TB @ 30 Sept 2025'!A18</f>
        <v>General Admin Expense</v>
      </c>
      <c r="O35" s="46">
        <f>'TB @ 30 Sept 2025'!B18</f>
        <v>7740</v>
      </c>
      <c r="P35" s="47"/>
      <c r="Q35" s="48" t="str">
        <f>H39</f>
        <v>(k)</v>
      </c>
      <c r="R35" s="49">
        <f>K39</f>
        <v>12650</v>
      </c>
      <c r="S35" s="50"/>
      <c r="T35" s="35">
        <f>O35+R35-S35</f>
        <v>20390</v>
      </c>
      <c r="U35" s="38"/>
      <c r="V35" s="49"/>
    </row>
    <row r="36" spans="8:22" x14ac:dyDescent="0.3">
      <c r="H36" s="37" t="s">
        <v>94</v>
      </c>
      <c r="I36" s="28" t="s">
        <v>91</v>
      </c>
      <c r="J36" s="28"/>
      <c r="K36" s="35">
        <v>5000</v>
      </c>
      <c r="L36" s="38"/>
      <c r="N36" s="37"/>
      <c r="O36" s="46"/>
      <c r="P36" s="47"/>
      <c r="Q36" s="48"/>
      <c r="R36" s="58"/>
      <c r="S36" s="50"/>
      <c r="T36" s="35"/>
      <c r="U36" s="38"/>
    </row>
    <row r="37" spans="8:22" x14ac:dyDescent="0.3">
      <c r="H37" s="4"/>
      <c r="J37" s="28" t="s">
        <v>43</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
      <c r="H38" s="4"/>
      <c r="J38" s="28"/>
      <c r="K38" s="28"/>
      <c r="L38" s="38"/>
      <c r="P38" s="76"/>
      <c r="S38" s="77"/>
      <c r="T38" s="77"/>
      <c r="U38" s="76"/>
      <c r="V38" s="49"/>
    </row>
    <row r="39" spans="8:22" x14ac:dyDescent="0.3">
      <c r="H39" s="37" t="s">
        <v>120</v>
      </c>
      <c r="I39" s="28" t="s">
        <v>32</v>
      </c>
      <c r="J39" s="28"/>
      <c r="K39" s="35">
        <v>12650</v>
      </c>
      <c r="L39" s="38"/>
      <c r="T39" s="161"/>
      <c r="U39" s="49"/>
    </row>
    <row r="40" spans="8:22" x14ac:dyDescent="0.3">
      <c r="H40" s="4"/>
      <c r="J40" s="28" t="s">
        <v>7</v>
      </c>
      <c r="K40" s="28"/>
      <c r="L40" s="38">
        <f>K39</f>
        <v>12650</v>
      </c>
      <c r="T40" s="161"/>
      <c r="U40" s="49"/>
      <c r="V40" s="49"/>
    </row>
    <row r="41" spans="8:22" ht="15" thickBot="1" x14ac:dyDescent="0.35">
      <c r="H41" s="4"/>
      <c r="J41" s="1"/>
      <c r="K41" s="41">
        <f>SUM(K4:K37)</f>
        <v>888020</v>
      </c>
      <c r="L41" s="42">
        <f>SUM(L4:L37)</f>
        <v>888020</v>
      </c>
      <c r="T41" s="161"/>
      <c r="U41" s="49"/>
    </row>
    <row r="42" spans="8:22" ht="15" thickTop="1" x14ac:dyDescent="0.3">
      <c r="H42" s="5"/>
      <c r="I42" s="2"/>
      <c r="J42" s="2"/>
      <c r="K42" s="2"/>
      <c r="L42" s="43"/>
      <c r="O42" s="53"/>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6" workbookViewId="0">
      <selection activeCell="D5" sqref="D5"/>
    </sheetView>
  </sheetViews>
  <sheetFormatPr defaultColWidth="8.88671875" defaultRowHeight="14.4" x14ac:dyDescent="0.3"/>
  <cols>
    <col min="1" max="1" width="6.77734375" style="1" customWidth="1"/>
    <col min="2" max="2" width="5.77734375" style="1" customWidth="1"/>
    <col min="3" max="3" width="37.77734375" style="31" customWidth="1"/>
    <col min="4" max="4" width="12" style="31" customWidth="1"/>
    <col min="5" max="5" width="12" style="1" customWidth="1"/>
    <col min="6" max="6" width="12" style="58" customWidth="1"/>
    <col min="7" max="16384" width="8.88671875" style="1"/>
  </cols>
  <sheetData>
    <row r="1" spans="1:6" ht="18" x14ac:dyDescent="0.35">
      <c r="A1" s="67" t="s">
        <v>45</v>
      </c>
      <c r="B1" s="67"/>
    </row>
    <row r="3" spans="1:6" x14ac:dyDescent="0.3">
      <c r="A3" s="29" t="s">
        <v>40</v>
      </c>
      <c r="B3" s="30"/>
      <c r="C3" s="12"/>
      <c r="D3" s="10" t="s">
        <v>13</v>
      </c>
      <c r="E3" s="11" t="s">
        <v>14</v>
      </c>
      <c r="F3" s="70"/>
    </row>
    <row r="4" spans="1:6" x14ac:dyDescent="0.3">
      <c r="A4" s="4"/>
      <c r="E4" s="32"/>
    </row>
    <row r="5" spans="1:6" x14ac:dyDescent="0.3">
      <c r="A5" s="33" t="s">
        <v>19</v>
      </c>
      <c r="B5" s="28" t="s">
        <v>16</v>
      </c>
      <c r="C5" s="34"/>
      <c r="D5" s="35">
        <f>26400/12*3</f>
        <v>6600</v>
      </c>
      <c r="E5" s="36"/>
    </row>
    <row r="6" spans="1:6" x14ac:dyDescent="0.3">
      <c r="A6" s="37"/>
      <c r="B6" s="28"/>
      <c r="C6" s="28" t="s">
        <v>18</v>
      </c>
      <c r="D6" s="28"/>
      <c r="E6" s="38">
        <f>D5</f>
        <v>6600</v>
      </c>
      <c r="F6" s="49"/>
    </row>
    <row r="7" spans="1:6" x14ac:dyDescent="0.3">
      <c r="A7" s="37"/>
      <c r="B7" s="28"/>
      <c r="C7" s="28"/>
      <c r="D7" s="28"/>
      <c r="E7" s="36"/>
    </row>
    <row r="8" spans="1:6" x14ac:dyDescent="0.3">
      <c r="A8" s="33" t="s">
        <v>20</v>
      </c>
      <c r="B8" s="28" t="s">
        <v>43</v>
      </c>
      <c r="C8" s="28"/>
      <c r="D8" s="35">
        <f>14500/2</f>
        <v>7250</v>
      </c>
      <c r="E8" s="36"/>
    </row>
    <row r="9" spans="1:6" x14ac:dyDescent="0.3">
      <c r="A9" s="37"/>
      <c r="B9" s="28"/>
      <c r="C9" s="28" t="s">
        <v>50</v>
      </c>
      <c r="D9" s="28"/>
      <c r="E9" s="38">
        <f>D8</f>
        <v>7250</v>
      </c>
      <c r="F9" s="49"/>
    </row>
    <row r="10" spans="1:6" x14ac:dyDescent="0.3">
      <c r="A10" s="37"/>
      <c r="B10" s="28"/>
      <c r="C10" s="28"/>
      <c r="D10" s="28"/>
      <c r="E10" s="36"/>
    </row>
    <row r="11" spans="1:6" x14ac:dyDescent="0.3">
      <c r="A11" s="37"/>
      <c r="B11" s="28" t="s">
        <v>5</v>
      </c>
      <c r="C11" s="28"/>
      <c r="D11" s="35">
        <v>2540</v>
      </c>
      <c r="E11" s="36"/>
    </row>
    <row r="12" spans="1:6" x14ac:dyDescent="0.3">
      <c r="A12" s="37"/>
      <c r="B12" s="28"/>
      <c r="C12" s="28" t="s">
        <v>4</v>
      </c>
      <c r="D12" s="28"/>
      <c r="E12" s="38">
        <f>D11</f>
        <v>2540</v>
      </c>
    </row>
    <row r="13" spans="1:6" x14ac:dyDescent="0.3">
      <c r="A13" s="37"/>
      <c r="B13" s="28"/>
      <c r="C13" s="28"/>
      <c r="D13" s="28"/>
      <c r="E13" s="36"/>
    </row>
    <row r="14" spans="1:6" x14ac:dyDescent="0.3">
      <c r="A14" s="39" t="s">
        <v>21</v>
      </c>
      <c r="B14" s="28" t="s">
        <v>0</v>
      </c>
      <c r="C14" s="28"/>
      <c r="D14" s="35">
        <v>2850</v>
      </c>
      <c r="E14" s="36"/>
    </row>
    <row r="15" spans="1:6" x14ac:dyDescent="0.3">
      <c r="A15" s="37"/>
      <c r="B15" s="28"/>
      <c r="C15" s="28" t="s">
        <v>41</v>
      </c>
      <c r="D15" s="28"/>
      <c r="E15" s="38">
        <f>D14</f>
        <v>2850</v>
      </c>
    </row>
    <row r="16" spans="1:6" x14ac:dyDescent="0.3">
      <c r="A16" s="37"/>
      <c r="B16" s="28"/>
      <c r="C16" s="28"/>
      <c r="D16" s="28"/>
      <c r="E16" s="36"/>
    </row>
    <row r="17" spans="1:6" x14ac:dyDescent="0.3">
      <c r="A17" s="37" t="s">
        <v>22</v>
      </c>
      <c r="B17" s="28" t="s">
        <v>121</v>
      </c>
      <c r="C17" s="28"/>
      <c r="D17" s="35">
        <f>450*4</f>
        <v>1800</v>
      </c>
      <c r="E17" s="36"/>
    </row>
    <row r="18" spans="1:6" x14ac:dyDescent="0.3">
      <c r="A18" s="37"/>
      <c r="B18" s="28"/>
      <c r="C18" s="28" t="s">
        <v>122</v>
      </c>
      <c r="D18" s="35"/>
      <c r="E18" s="38">
        <f>D17</f>
        <v>1800</v>
      </c>
      <c r="F18" s="49"/>
    </row>
    <row r="19" spans="1:6" x14ac:dyDescent="0.3">
      <c r="A19" s="33"/>
      <c r="B19" s="28"/>
      <c r="C19" s="28"/>
      <c r="D19" s="35"/>
      <c r="E19" s="36"/>
    </row>
    <row r="20" spans="1:6" x14ac:dyDescent="0.3">
      <c r="A20" s="33" t="s">
        <v>23</v>
      </c>
      <c r="B20" s="28" t="s">
        <v>42</v>
      </c>
      <c r="C20" s="28"/>
      <c r="D20" s="35">
        <v>8200</v>
      </c>
      <c r="E20" s="36"/>
    </row>
    <row r="21" spans="1:6" x14ac:dyDescent="0.3">
      <c r="A21" s="37"/>
      <c r="B21" s="28"/>
      <c r="C21" s="28" t="s">
        <v>104</v>
      </c>
      <c r="D21" s="28"/>
      <c r="E21" s="38">
        <f>D20</f>
        <v>8200</v>
      </c>
      <c r="F21" s="49"/>
    </row>
    <row r="22" spans="1:6" x14ac:dyDescent="0.3">
      <c r="A22" s="37"/>
      <c r="B22" s="28"/>
      <c r="C22" s="28"/>
      <c r="D22" s="28"/>
      <c r="E22" s="36"/>
    </row>
    <row r="23" spans="1:6" x14ac:dyDescent="0.3">
      <c r="A23" s="37" t="s">
        <v>33</v>
      </c>
      <c r="B23" s="28" t="s">
        <v>123</v>
      </c>
      <c r="C23" s="28"/>
      <c r="D23" s="35">
        <v>2200</v>
      </c>
      <c r="E23" s="36"/>
    </row>
    <row r="24" spans="1:6" x14ac:dyDescent="0.3">
      <c r="A24" s="37"/>
      <c r="B24" s="28"/>
      <c r="C24" s="28" t="s">
        <v>17</v>
      </c>
      <c r="D24" s="28"/>
      <c r="E24" s="38">
        <f>D23</f>
        <v>2200</v>
      </c>
      <c r="F24" s="49"/>
    </row>
    <row r="25" spans="1:6" x14ac:dyDescent="0.3">
      <c r="A25" s="37"/>
      <c r="B25" s="28"/>
      <c r="C25" s="28"/>
      <c r="D25" s="28"/>
      <c r="E25" s="36"/>
    </row>
    <row r="26" spans="1:6" x14ac:dyDescent="0.3">
      <c r="A26" s="37" t="s">
        <v>24</v>
      </c>
      <c r="B26" s="28" t="s">
        <v>44</v>
      </c>
      <c r="C26" s="28"/>
      <c r="D26" s="35">
        <v>4200</v>
      </c>
      <c r="E26" s="36"/>
    </row>
    <row r="27" spans="1:6" x14ac:dyDescent="0.3">
      <c r="A27" s="37"/>
      <c r="B27" s="28"/>
      <c r="C27" s="28" t="s">
        <v>62</v>
      </c>
      <c r="D27" s="28"/>
      <c r="E27" s="38">
        <f>D26</f>
        <v>4200</v>
      </c>
    </row>
    <row r="28" spans="1:6" ht="15" thickBot="1" x14ac:dyDescent="0.35">
      <c r="A28" s="4"/>
      <c r="C28" s="1"/>
      <c r="D28" s="41">
        <f>SUM(D4:D27)</f>
        <v>35640</v>
      </c>
      <c r="E28" s="42">
        <f>SUM(E4:E27)</f>
        <v>35640</v>
      </c>
    </row>
    <row r="29" spans="1:6" ht="15" thickTop="1" x14ac:dyDescent="0.3">
      <c r="A29" s="5"/>
      <c r="B29" s="2"/>
      <c r="C29" s="2"/>
      <c r="D29" s="2"/>
      <c r="E29" s="43"/>
    </row>
    <row r="33" spans="6:6" x14ac:dyDescent="0.3">
      <c r="F33" s="49"/>
    </row>
    <row r="36" spans="6:6" x14ac:dyDescent="0.3">
      <c r="F36" s="49"/>
    </row>
    <row r="39" spans="6:6" x14ac:dyDescent="0.3">
      <c r="F39" s="49"/>
    </row>
    <row r="41" spans="6:6" x14ac:dyDescent="0.3">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J1" zoomScale="98" zoomScaleNormal="98" workbookViewId="0">
      <selection activeCell="T17" sqref="T17"/>
    </sheetView>
  </sheetViews>
  <sheetFormatPr defaultColWidth="8.88671875" defaultRowHeight="14.4" x14ac:dyDescent="0.3"/>
  <cols>
    <col min="1" max="1" width="4.6640625" style="58" customWidth="1"/>
    <col min="2" max="2" width="36.77734375" style="58" customWidth="1"/>
    <col min="3" max="3" width="13.44140625" style="1" bestFit="1" customWidth="1"/>
    <col min="4" max="4" width="11" style="1" customWidth="1"/>
    <col min="5" max="5" width="7.6640625" style="58" customWidth="1"/>
    <col min="6" max="7" width="11" style="58" customWidth="1"/>
    <col min="8" max="8" width="11" style="1" customWidth="1"/>
    <col min="9" max="9" width="10.44140625" style="1" bestFit="1" customWidth="1"/>
    <col min="10" max="10" width="7.6640625" style="58" customWidth="1"/>
    <col min="11" max="12" width="11" style="58" customWidth="1"/>
    <col min="13" max="13" width="11" style="1" customWidth="1"/>
    <col min="14" max="14" width="10.44140625" style="1" bestFit="1" customWidth="1"/>
    <col min="15" max="15" width="5.33203125" style="1" customWidth="1"/>
    <col min="16" max="16" width="4.6640625" style="1" customWidth="1"/>
    <col min="17" max="17" width="29.77734375" style="1" customWidth="1"/>
    <col min="18" max="18" width="10.44140625" style="1" customWidth="1"/>
    <col min="19" max="19" width="3.21875" style="1" customWidth="1"/>
    <col min="20" max="20" width="16.5546875" style="1" bestFit="1" customWidth="1"/>
    <col min="21" max="21" width="9.77734375" style="1" customWidth="1"/>
    <col min="22" max="22" width="1.77734375" style="1" customWidth="1"/>
    <col min="23" max="23" width="9.77734375" style="1" customWidth="1"/>
    <col min="24" max="24" width="1.6640625" style="1" customWidth="1"/>
    <col min="25" max="25" width="10.88671875" style="1" bestFit="1" customWidth="1"/>
    <col min="26" max="26" width="1.21875" style="1" customWidth="1"/>
    <col min="27" max="27" width="10.88671875" style="1" bestFit="1" customWidth="1"/>
    <col min="28" max="28" width="2.88671875" style="1" customWidth="1"/>
    <col min="29" max="29" width="3.5546875" style="1" customWidth="1"/>
    <col min="30" max="30" width="36.21875" style="1" customWidth="1"/>
    <col min="31" max="31" width="13.5546875" style="1" customWidth="1"/>
    <col min="32" max="16384" width="8.88671875" style="1"/>
  </cols>
  <sheetData>
    <row r="1" spans="1:31" ht="18" x14ac:dyDescent="0.35">
      <c r="A1" s="67" t="s">
        <v>129</v>
      </c>
      <c r="B1" s="67"/>
      <c r="P1" s="67"/>
    </row>
    <row r="2" spans="1:31" x14ac:dyDescent="0.3">
      <c r="A2" s="6" t="s">
        <v>25</v>
      </c>
      <c r="B2" s="6"/>
      <c r="C2" s="7"/>
      <c r="D2" s="7"/>
      <c r="E2" s="83"/>
      <c r="F2" s="83"/>
      <c r="G2" s="83"/>
      <c r="H2" s="7"/>
      <c r="I2" s="7"/>
      <c r="J2" s="132" t="s">
        <v>27</v>
      </c>
      <c r="K2" s="133"/>
      <c r="L2" s="133"/>
      <c r="M2" s="134"/>
      <c r="N2" s="134"/>
      <c r="P2" s="6" t="s">
        <v>26</v>
      </c>
      <c r="Q2" s="7"/>
      <c r="R2" s="7"/>
      <c r="S2" s="7"/>
      <c r="T2" s="7"/>
      <c r="U2" s="7"/>
      <c r="V2" s="7"/>
      <c r="W2" s="7"/>
      <c r="X2" s="7"/>
      <c r="Y2" s="7"/>
      <c r="Z2" s="7"/>
      <c r="AA2" s="7"/>
      <c r="AB2" s="7"/>
      <c r="AC2" s="7"/>
      <c r="AD2" s="7"/>
      <c r="AE2" s="7"/>
    </row>
    <row r="3" spans="1:31" ht="27" customHeight="1" x14ac:dyDescent="0.3">
      <c r="A3" s="185" t="s">
        <v>81</v>
      </c>
      <c r="B3" s="186"/>
      <c r="C3" s="189" t="s">
        <v>151</v>
      </c>
      <c r="D3" s="190"/>
      <c r="E3" s="192" t="s">
        <v>148</v>
      </c>
      <c r="F3" s="193"/>
      <c r="G3" s="194"/>
      <c r="H3" s="191" t="s">
        <v>149</v>
      </c>
      <c r="I3" s="190"/>
      <c r="J3" s="195" t="s">
        <v>154</v>
      </c>
      <c r="K3" s="196"/>
      <c r="L3" s="197"/>
      <c r="M3" s="191" t="s">
        <v>150</v>
      </c>
      <c r="N3" s="190"/>
      <c r="P3" s="174" t="s">
        <v>125</v>
      </c>
      <c r="Q3" s="175"/>
      <c r="R3" s="176"/>
      <c r="T3" s="174" t="str">
        <f>P3</f>
        <v xml:space="preserve">Hunt3X Coporation </v>
      </c>
      <c r="U3" s="175"/>
      <c r="V3" s="175"/>
      <c r="W3" s="175"/>
      <c r="X3" s="175"/>
      <c r="Y3" s="175"/>
      <c r="Z3" s="175"/>
      <c r="AA3" s="176"/>
      <c r="AC3" s="174" t="str">
        <f>T3</f>
        <v xml:space="preserve">Hunt3X Coporation </v>
      </c>
      <c r="AD3" s="175"/>
      <c r="AE3" s="176"/>
    </row>
    <row r="4" spans="1:31" ht="15.6" customHeight="1" x14ac:dyDescent="0.3">
      <c r="A4" s="187"/>
      <c r="B4" s="188"/>
      <c r="C4" s="82" t="s">
        <v>13</v>
      </c>
      <c r="D4" s="81" t="s">
        <v>14</v>
      </c>
      <c r="E4" s="84" t="s">
        <v>46</v>
      </c>
      <c r="F4" s="84" t="s">
        <v>13</v>
      </c>
      <c r="G4" s="85" t="s">
        <v>14</v>
      </c>
      <c r="H4" s="80" t="s">
        <v>13</v>
      </c>
      <c r="I4" s="81" t="s">
        <v>14</v>
      </c>
      <c r="J4" s="84" t="s">
        <v>46</v>
      </c>
      <c r="K4" s="84" t="s">
        <v>13</v>
      </c>
      <c r="L4" s="85" t="s">
        <v>14</v>
      </c>
      <c r="M4" s="80" t="s">
        <v>13</v>
      </c>
      <c r="N4" s="81" t="s">
        <v>14</v>
      </c>
      <c r="P4" s="177" t="s">
        <v>47</v>
      </c>
      <c r="Q4" s="178"/>
      <c r="R4" s="179"/>
      <c r="T4" s="177" t="s">
        <v>48</v>
      </c>
      <c r="U4" s="178"/>
      <c r="V4" s="178"/>
      <c r="W4" s="178"/>
      <c r="X4" s="178"/>
      <c r="Y4" s="178"/>
      <c r="Z4" s="178"/>
      <c r="AA4" s="179"/>
      <c r="AC4" s="177" t="s">
        <v>49</v>
      </c>
      <c r="AD4" s="178"/>
      <c r="AE4" s="179"/>
    </row>
    <row r="5" spans="1:31" x14ac:dyDescent="0.3">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180" t="s">
        <v>126</v>
      </c>
      <c r="Q5" s="181"/>
      <c r="R5" s="182"/>
      <c r="T5" s="180" t="str">
        <f>P5</f>
        <v>For the Year Ended 31 December 2025</v>
      </c>
      <c r="U5" s="181"/>
      <c r="V5" s="181"/>
      <c r="W5" s="181"/>
      <c r="X5" s="181"/>
      <c r="Y5" s="181"/>
      <c r="Z5" s="181"/>
      <c r="AA5" s="182"/>
      <c r="AC5" s="180" t="s">
        <v>127</v>
      </c>
      <c r="AD5" s="181"/>
      <c r="AE5" s="182"/>
    </row>
    <row r="6" spans="1:31" x14ac:dyDescent="0.3">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tr">
        <f>A22</f>
        <v>Sales Revenue</v>
      </c>
      <c r="R7" s="135">
        <f>I22</f>
        <v>315550</v>
      </c>
      <c r="T7" s="4"/>
      <c r="U7" s="31" t="s">
        <v>105</v>
      </c>
      <c r="V7" s="31"/>
      <c r="W7" s="31" t="s">
        <v>107</v>
      </c>
      <c r="X7" s="31"/>
      <c r="Y7" s="31" t="s">
        <v>51</v>
      </c>
      <c r="Z7" s="31"/>
      <c r="AA7" s="88" t="s">
        <v>52</v>
      </c>
      <c r="AC7" s="37" t="s">
        <v>8</v>
      </c>
      <c r="AE7" s="47"/>
    </row>
    <row r="8" spans="1:31" x14ac:dyDescent="0.3">
      <c r="A8" s="37" t="s">
        <v>123</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136">
        <f>-H23</f>
        <v>-113934</v>
      </c>
      <c r="T8" s="4"/>
      <c r="U8" s="89" t="s">
        <v>106</v>
      </c>
      <c r="V8" s="31"/>
      <c r="W8" s="89" t="s">
        <v>106</v>
      </c>
      <c r="X8" s="31"/>
      <c r="Y8" s="89" t="s">
        <v>53</v>
      </c>
      <c r="Z8" s="31"/>
      <c r="AA8" s="90" t="s">
        <v>12</v>
      </c>
      <c r="AC8" s="4" t="s">
        <v>54</v>
      </c>
      <c r="AE8" s="88"/>
    </row>
    <row r="9" spans="1:31" ht="15" thickBot="1" x14ac:dyDescent="0.35">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55</v>
      </c>
      <c r="R9" s="135">
        <f>SUM(R7:R8)</f>
        <v>201616</v>
      </c>
      <c r="T9" s="4" t="s">
        <v>56</v>
      </c>
      <c r="U9" s="91">
        <f>'TB @ 30 Sept 2025'!C10</f>
        <v>200000</v>
      </c>
      <c r="V9" s="92"/>
      <c r="W9" s="91">
        <f>'TB @ 30 Sept 2025'!C11</f>
        <v>200000</v>
      </c>
      <c r="X9" s="92"/>
      <c r="Y9" s="91">
        <f>I21</f>
        <v>5230</v>
      </c>
      <c r="Z9" s="92"/>
      <c r="AA9" s="93">
        <f>SUM(U9:Y9)</f>
        <v>405230</v>
      </c>
      <c r="AC9" s="4"/>
      <c r="AD9" s="1" t="str">
        <f>A5</f>
        <v>Cash</v>
      </c>
      <c r="AE9" s="135">
        <f>H5</f>
        <v>359516</v>
      </c>
    </row>
    <row r="10" spans="1:31" ht="13.5" customHeight="1" x14ac:dyDescent="0.3">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 t="shared" ref="Q10:Q15" si="2">A24</f>
        <v>Rent Expense</v>
      </c>
      <c r="R10" s="135">
        <f t="shared" ref="R10:R15" si="3">-H24</f>
        <v>-13200</v>
      </c>
      <c r="T10" s="4" t="s">
        <v>57</v>
      </c>
      <c r="U10" s="138">
        <f>'Tutorial 2 Sol'!S27</f>
        <v>250000</v>
      </c>
      <c r="V10" s="138"/>
      <c r="W10" s="138"/>
      <c r="X10" s="138"/>
      <c r="Y10" s="138"/>
      <c r="Z10" s="138"/>
      <c r="AA10" s="139">
        <f>U10</f>
        <v>250000</v>
      </c>
      <c r="AC10" s="4"/>
      <c r="AD10" s="1" t="str">
        <f>A6</f>
        <v>Accounts Receivable</v>
      </c>
      <c r="AE10" s="135">
        <f>H6</f>
        <v>33800</v>
      </c>
    </row>
    <row r="11" spans="1:31" x14ac:dyDescent="0.3">
      <c r="A11" s="37" t="s">
        <v>104</v>
      </c>
      <c r="B11" s="36"/>
      <c r="C11" s="55"/>
      <c r="D11" s="56">
        <v>0</v>
      </c>
      <c r="E11" s="57" t="str">
        <f>'Tutorial 3 Sol'!A20</f>
        <v xml:space="preserve">(e) </v>
      </c>
      <c r="G11" s="54">
        <f>'Tutorial 3 Sol'!E21</f>
        <v>8200</v>
      </c>
      <c r="H11" s="35"/>
      <c r="I11" s="38">
        <f t="shared" ref="I11:I17" si="4">D11+G11-F11</f>
        <v>8200</v>
      </c>
      <c r="J11" s="57"/>
      <c r="L11" s="54"/>
      <c r="M11" s="35"/>
      <c r="N11" s="38">
        <f>I11+L11-K11</f>
        <v>8200</v>
      </c>
      <c r="P11" s="4"/>
      <c r="Q11" s="1" t="str">
        <f t="shared" si="2"/>
        <v>Marketing Expense</v>
      </c>
      <c r="R11" s="135">
        <f t="shared" si="3"/>
        <v>-18500</v>
      </c>
      <c r="T11" s="4" t="s">
        <v>58</v>
      </c>
      <c r="U11" s="138"/>
      <c r="V11" s="138"/>
      <c r="W11" s="138"/>
      <c r="X11" s="138"/>
      <c r="Y11" s="138">
        <f>R20</f>
        <v>43076</v>
      </c>
      <c r="Z11" s="138"/>
      <c r="AA11" s="139">
        <f>SUM(U11:Y11)</f>
        <v>43076</v>
      </c>
      <c r="AC11" s="4"/>
      <c r="AD11" s="1" t="str">
        <f>A7</f>
        <v>Prepaid Rent</v>
      </c>
      <c r="AE11" s="135">
        <f>H7</f>
        <v>13200</v>
      </c>
    </row>
    <row r="12" spans="1:31" ht="15" thickBot="1" x14ac:dyDescent="0.35">
      <c r="A12" s="37" t="str">
        <f>'TB @ 30 Sept 2025'!A7</f>
        <v>Accounts Payable</v>
      </c>
      <c r="B12" s="36"/>
      <c r="C12" s="55"/>
      <c r="D12" s="56">
        <f>'Tutorial 2 Sol'!U22</f>
        <v>16850</v>
      </c>
      <c r="E12" s="57"/>
      <c r="G12" s="54"/>
      <c r="H12" s="28"/>
      <c r="I12" s="38">
        <f t="shared" si="4"/>
        <v>16850</v>
      </c>
      <c r="J12" s="57"/>
      <c r="L12" s="54"/>
      <c r="M12" s="28"/>
      <c r="N12" s="38">
        <f t="shared" ref="N12:N22" si="5">I12+L12-K12</f>
        <v>16850</v>
      </c>
      <c r="P12" s="4"/>
      <c r="Q12" s="1" t="str">
        <f t="shared" si="2"/>
        <v>Salaries Expense</v>
      </c>
      <c r="R12" s="135">
        <f t="shared" si="3"/>
        <v>-89400</v>
      </c>
      <c r="T12" s="4" t="s">
        <v>59</v>
      </c>
      <c r="U12" s="91">
        <f>SUM(U9:U11)</f>
        <v>450000</v>
      </c>
      <c r="V12" s="92"/>
      <c r="W12" s="91">
        <f>SUM(W9:W11)</f>
        <v>200000</v>
      </c>
      <c r="X12" s="92"/>
      <c r="Y12" s="91">
        <f>SUM(Y9:Y11)</f>
        <v>48306</v>
      </c>
      <c r="Z12" s="92"/>
      <c r="AA12" s="93">
        <f>SUM(AA9:AA11)</f>
        <v>698306</v>
      </c>
      <c r="AC12" s="4"/>
      <c r="AD12" s="1" t="str">
        <f>A8</f>
        <v>Prepaid Salaries</v>
      </c>
      <c r="AE12" s="135">
        <f>H8</f>
        <v>2200</v>
      </c>
    </row>
    <row r="13" spans="1:31" x14ac:dyDescent="0.3">
      <c r="A13" s="37" t="s">
        <v>43</v>
      </c>
      <c r="B13" s="36"/>
      <c r="C13" s="55"/>
      <c r="D13" s="56">
        <f>'Tutorial 2 Sol'!U24</f>
        <v>19500</v>
      </c>
      <c r="E13" s="57" t="str">
        <f>'Tutorial 3 Sol'!A8</f>
        <v>(b)</v>
      </c>
      <c r="F13" s="49">
        <f>'Tutorial 3 Sol'!D8</f>
        <v>7250</v>
      </c>
      <c r="G13" s="54"/>
      <c r="H13" s="28"/>
      <c r="I13" s="38">
        <f t="shared" si="4"/>
        <v>12250</v>
      </c>
      <c r="J13" s="57"/>
      <c r="K13" s="49"/>
      <c r="L13" s="54"/>
      <c r="M13" s="28"/>
      <c r="N13" s="38">
        <f t="shared" si="5"/>
        <v>12250</v>
      </c>
      <c r="P13" s="4"/>
      <c r="Q13" s="1" t="str">
        <f t="shared" si="2"/>
        <v>General Admin Expense</v>
      </c>
      <c r="R13" s="135">
        <f t="shared" si="3"/>
        <v>-20390</v>
      </c>
      <c r="T13" s="5"/>
      <c r="U13" s="2"/>
      <c r="V13" s="2"/>
      <c r="W13" s="2"/>
      <c r="X13" s="2"/>
      <c r="Y13" s="2"/>
      <c r="Z13" s="2"/>
      <c r="AA13" s="43"/>
      <c r="AC13" s="4"/>
      <c r="AD13" s="1" t="str">
        <f>A9</f>
        <v>Inventory</v>
      </c>
      <c r="AE13" s="136">
        <f>H9</f>
        <v>115740</v>
      </c>
    </row>
    <row r="14" spans="1:31" x14ac:dyDescent="0.3">
      <c r="A14" s="37" t="s">
        <v>122</v>
      </c>
      <c r="B14" s="36"/>
      <c r="C14" s="55"/>
      <c r="D14" s="56">
        <v>0</v>
      </c>
      <c r="E14" s="57" t="str">
        <f>'Tutorial 3 Sol'!A17</f>
        <v>(d)</v>
      </c>
      <c r="F14" s="49"/>
      <c r="G14" s="54">
        <f>'Tutorial 3 Sol'!E18</f>
        <v>1800</v>
      </c>
      <c r="H14" s="28"/>
      <c r="I14" s="38">
        <f t="shared" si="4"/>
        <v>1800</v>
      </c>
      <c r="J14" s="57"/>
      <c r="K14" s="49"/>
      <c r="L14" s="54"/>
      <c r="M14" s="28"/>
      <c r="N14" s="38">
        <f t="shared" si="5"/>
        <v>1800</v>
      </c>
      <c r="P14" s="4"/>
      <c r="Q14" s="1" t="str">
        <f t="shared" si="2"/>
        <v xml:space="preserve">Consulting Fees </v>
      </c>
      <c r="R14" s="135">
        <f t="shared" si="3"/>
        <v>-1800</v>
      </c>
      <c r="AC14" s="4"/>
      <c r="AD14" s="1" t="s">
        <v>60</v>
      </c>
      <c r="AE14" s="135">
        <f>SUM(AE9:AE13)</f>
        <v>524456</v>
      </c>
    </row>
    <row r="15" spans="1:31" x14ac:dyDescent="0.3">
      <c r="A15" s="37" t="s">
        <v>41</v>
      </c>
      <c r="B15" s="36"/>
      <c r="C15" s="55"/>
      <c r="D15" s="56">
        <v>0</v>
      </c>
      <c r="E15" s="57" t="str">
        <f>E30</f>
        <v xml:space="preserve">(c) </v>
      </c>
      <c r="F15" s="49"/>
      <c r="G15" s="54">
        <f>'Tutorial 3 Sol'!E15</f>
        <v>2850</v>
      </c>
      <c r="H15" s="28"/>
      <c r="I15" s="38">
        <f t="shared" si="4"/>
        <v>2850</v>
      </c>
      <c r="J15" s="57"/>
      <c r="K15" s="49"/>
      <c r="L15" s="54"/>
      <c r="M15" s="28"/>
      <c r="N15" s="38">
        <f t="shared" si="5"/>
        <v>2850</v>
      </c>
      <c r="P15" s="4"/>
      <c r="Q15" s="1" t="str">
        <f t="shared" si="2"/>
        <v>Depreciation Expense</v>
      </c>
      <c r="R15" s="135">
        <f t="shared" si="3"/>
        <v>-8200</v>
      </c>
      <c r="AC15" s="4" t="s">
        <v>61</v>
      </c>
      <c r="AE15" s="135"/>
    </row>
    <row r="16" spans="1:31" x14ac:dyDescent="0.3">
      <c r="A16" s="37" t="s">
        <v>62</v>
      </c>
      <c r="B16" s="36"/>
      <c r="C16" s="55"/>
      <c r="D16" s="56">
        <v>0</v>
      </c>
      <c r="E16" s="57" t="str">
        <f>'Tutorial 3 Sol'!A26</f>
        <v>(g)</v>
      </c>
      <c r="F16" s="49"/>
      <c r="G16" s="54">
        <f>'Tutorial 3 Sol'!E27</f>
        <v>4200</v>
      </c>
      <c r="H16" s="28"/>
      <c r="I16" s="38">
        <f t="shared" si="4"/>
        <v>4200</v>
      </c>
      <c r="J16" s="57"/>
      <c r="K16" s="49"/>
      <c r="L16" s="54"/>
      <c r="M16" s="28"/>
      <c r="N16" s="38">
        <f t="shared" si="5"/>
        <v>4200</v>
      </c>
      <c r="P16" s="4" t="s">
        <v>63</v>
      </c>
      <c r="R16" s="136">
        <f>SUM(R9:R15)</f>
        <v>50126</v>
      </c>
      <c r="AC16" s="4"/>
      <c r="AD16" s="1" t="s">
        <v>3</v>
      </c>
      <c r="AE16" s="135">
        <f>H10-I11</f>
        <v>291800</v>
      </c>
    </row>
    <row r="17" spans="1:32" x14ac:dyDescent="0.3">
      <c r="A17" s="37" t="str">
        <f>'Tutorial 2 Sol'!N25</f>
        <v>Short Term Notes Payable</v>
      </c>
      <c r="B17" s="36"/>
      <c r="C17" s="55"/>
      <c r="D17" s="56">
        <f>'Tutorial 2 Sol'!U25</f>
        <v>30000</v>
      </c>
      <c r="E17" s="57"/>
      <c r="F17" s="49"/>
      <c r="G17" s="54"/>
      <c r="H17" s="28"/>
      <c r="I17" s="38">
        <f t="shared" si="4"/>
        <v>30000</v>
      </c>
      <c r="J17" s="57"/>
      <c r="K17" s="49"/>
      <c r="L17" s="54"/>
      <c r="M17" s="28"/>
      <c r="N17" s="38">
        <f t="shared" si="5"/>
        <v>30000</v>
      </c>
      <c r="P17" s="4"/>
      <c r="Q17" s="1" t="str">
        <f>A30</f>
        <v>Interest Expense</v>
      </c>
      <c r="R17" s="136">
        <f>-H30</f>
        <v>-2850</v>
      </c>
      <c r="AC17" s="4"/>
      <c r="AD17" s="1" t="s">
        <v>64</v>
      </c>
      <c r="AE17" s="140">
        <f>SUM(AE16:AE16)</f>
        <v>291800</v>
      </c>
    </row>
    <row r="18" spans="1:32" x14ac:dyDescent="0.3">
      <c r="A18" s="37" t="str">
        <f>'TB @ 30 Sept 2025'!A9</f>
        <v>Long-term Debt</v>
      </c>
      <c r="B18" s="36"/>
      <c r="C18" s="55"/>
      <c r="D18" s="56">
        <f>'Tutorial 2 Sol'!U26</f>
        <v>50000</v>
      </c>
      <c r="E18" s="57"/>
      <c r="G18" s="50"/>
      <c r="H18" s="35"/>
      <c r="I18" s="38">
        <f t="shared" ref="I18:I22" si="6">D18+G18-F18</f>
        <v>50000</v>
      </c>
      <c r="J18" s="57"/>
      <c r="L18" s="50"/>
      <c r="M18" s="35"/>
      <c r="N18" s="38">
        <f t="shared" si="5"/>
        <v>50000</v>
      </c>
      <c r="P18" s="4" t="s">
        <v>65</v>
      </c>
      <c r="R18" s="135">
        <f>SUM(R16:R17)</f>
        <v>47276</v>
      </c>
      <c r="AC18" s="37" t="s">
        <v>9</v>
      </c>
      <c r="AE18" s="137">
        <f>AE17+AE14</f>
        <v>816256</v>
      </c>
    </row>
    <row r="19" spans="1:32" x14ac:dyDescent="0.3">
      <c r="A19" s="37" t="str">
        <f>'TB @ 30 Sept 2025'!A10</f>
        <v>Share Capital - Ordinary Shares</v>
      </c>
      <c r="B19" s="36"/>
      <c r="C19" s="55"/>
      <c r="D19" s="56">
        <f>'Tutorial 2 Sol'!U27</f>
        <v>450000</v>
      </c>
      <c r="E19" s="57"/>
      <c r="G19" s="50"/>
      <c r="H19" s="28"/>
      <c r="I19" s="38">
        <f t="shared" si="6"/>
        <v>450000</v>
      </c>
      <c r="J19" s="57"/>
      <c r="L19" s="50"/>
      <c r="M19" s="28"/>
      <c r="N19" s="38">
        <f t="shared" si="5"/>
        <v>450000</v>
      </c>
      <c r="P19" s="4"/>
      <c r="Q19" s="1" t="str">
        <f>A31</f>
        <v>Income Tax Expense</v>
      </c>
      <c r="R19" s="136">
        <f>-H31</f>
        <v>-4200</v>
      </c>
      <c r="AC19" s="4"/>
      <c r="AE19" s="135"/>
      <c r="AF19" s="49"/>
    </row>
    <row r="20" spans="1:32" x14ac:dyDescent="0.3">
      <c r="A20" s="37" t="str">
        <f>'TB @ 30 Sept 2025'!A11</f>
        <v>Share Capital - Preference Shares (cumulative)</v>
      </c>
      <c r="B20" s="36"/>
      <c r="C20" s="55"/>
      <c r="D20" s="56">
        <f>'Tutorial 2 Sol'!U28</f>
        <v>200000</v>
      </c>
      <c r="E20" s="57"/>
      <c r="G20" s="50"/>
      <c r="H20" s="28"/>
      <c r="I20" s="38">
        <f t="shared" si="6"/>
        <v>200000</v>
      </c>
      <c r="J20" s="57"/>
      <c r="L20" s="50"/>
      <c r="M20" s="28"/>
      <c r="N20" s="38">
        <f t="shared" si="5"/>
        <v>200000</v>
      </c>
      <c r="O20" s="53"/>
      <c r="P20" s="59" t="s">
        <v>58</v>
      </c>
      <c r="Q20" s="2"/>
      <c r="R20" s="137">
        <f>SUM(R18:R19)</f>
        <v>43076</v>
      </c>
      <c r="AC20" s="37" t="s">
        <v>10</v>
      </c>
      <c r="AE20" s="135"/>
    </row>
    <row r="21" spans="1:32" x14ac:dyDescent="0.3">
      <c r="A21" s="37" t="str">
        <f>'TB @ 30 Sept 2025'!A12</f>
        <v>Retained Earnings  (@ 31 Dec 2024)</v>
      </c>
      <c r="B21" s="36"/>
      <c r="C21" s="46"/>
      <c r="D21" s="56">
        <f>'Tutorial 2 Sol'!U29</f>
        <v>5230</v>
      </c>
      <c r="E21" s="57"/>
      <c r="G21" s="50"/>
      <c r="H21" s="35"/>
      <c r="I21" s="38">
        <f t="shared" si="6"/>
        <v>5230</v>
      </c>
      <c r="J21" s="57" t="s">
        <v>97</v>
      </c>
      <c r="L21" s="54">
        <f>D47</f>
        <v>43076</v>
      </c>
      <c r="M21" s="28"/>
      <c r="N21" s="38">
        <f>I21+L21-K21</f>
        <v>48306</v>
      </c>
      <c r="R21" s="150"/>
      <c r="AC21" s="4" t="s">
        <v>66</v>
      </c>
      <c r="AE21" s="135"/>
    </row>
    <row r="22" spans="1:32" x14ac:dyDescent="0.3">
      <c r="A22" s="37" t="str">
        <f>'TB @ 30 Sept 2025'!A13</f>
        <v>Sales Revenue</v>
      </c>
      <c r="B22" s="36"/>
      <c r="C22" s="55"/>
      <c r="D22" s="56">
        <f>'Tutorial 2 Sol'!U30</f>
        <v>308300</v>
      </c>
      <c r="E22" s="57" t="str">
        <f>E13</f>
        <v>(b)</v>
      </c>
      <c r="F22" s="49"/>
      <c r="G22" s="54">
        <f>F13</f>
        <v>7250</v>
      </c>
      <c r="H22" s="28"/>
      <c r="I22" s="38">
        <f t="shared" si="6"/>
        <v>315550</v>
      </c>
      <c r="J22" s="57" t="s">
        <v>97</v>
      </c>
      <c r="K22" s="49">
        <f>C37</f>
        <v>315550</v>
      </c>
      <c r="L22" s="54"/>
      <c r="M22" s="28"/>
      <c r="N22" s="38">
        <f t="shared" si="5"/>
        <v>0</v>
      </c>
      <c r="P22" s="58" t="s">
        <v>152</v>
      </c>
      <c r="R22" s="154">
        <f>I22-SUM(H23:H31)</f>
        <v>43076</v>
      </c>
      <c r="AC22" s="37"/>
      <c r="AD22" s="1" t="str">
        <f>A12</f>
        <v>Accounts Payable</v>
      </c>
      <c r="AE22" s="135">
        <f>I12</f>
        <v>16850</v>
      </c>
    </row>
    <row r="23" spans="1:32" x14ac:dyDescent="0.3">
      <c r="A23" s="37" t="str">
        <f>'TB @ 30 Sept 2025'!A14</f>
        <v>Cost of Goods Sold</v>
      </c>
      <c r="B23" s="36"/>
      <c r="C23" s="46">
        <f>'Tutorial 2 Sol'!T31</f>
        <v>111394</v>
      </c>
      <c r="D23" s="47"/>
      <c r="E23" s="48" t="str">
        <f>'Tutorial 3 Sol'!A8</f>
        <v>(b)</v>
      </c>
      <c r="F23" s="49">
        <f>'Tutorial 3 Sol'!D11</f>
        <v>2540</v>
      </c>
      <c r="G23" s="54"/>
      <c r="H23" s="35">
        <f t="shared" ref="H23:H31" si="7">C23+F23-G23</f>
        <v>113934</v>
      </c>
      <c r="I23" s="38"/>
      <c r="J23" s="57" t="s">
        <v>97</v>
      </c>
      <c r="K23" s="49"/>
      <c r="L23" s="54">
        <f>D38</f>
        <v>113934</v>
      </c>
      <c r="M23" s="35">
        <f t="shared" ref="M23:M31" si="8">H23+K23-L23</f>
        <v>0</v>
      </c>
      <c r="N23" s="38"/>
      <c r="R23" s="123"/>
      <c r="AC23" s="37"/>
      <c r="AD23" s="1" t="str">
        <f>A13</f>
        <v>Unearned Revenue</v>
      </c>
      <c r="AE23" s="135">
        <f>I13</f>
        <v>12250</v>
      </c>
    </row>
    <row r="24" spans="1:32" x14ac:dyDescent="0.3">
      <c r="A24" s="37" t="str">
        <f>'TB @ 30 Sept 2025'!A15</f>
        <v>Rent Expense</v>
      </c>
      <c r="B24" s="36"/>
      <c r="C24" s="46">
        <f>'Tutorial 2 Sol'!T32</f>
        <v>6600</v>
      </c>
      <c r="D24" s="47"/>
      <c r="E24" s="57" t="str">
        <f>E7</f>
        <v>(a)</v>
      </c>
      <c r="F24" s="49">
        <f>G7</f>
        <v>6600</v>
      </c>
      <c r="G24" s="50"/>
      <c r="H24" s="35">
        <f t="shared" si="7"/>
        <v>13200</v>
      </c>
      <c r="I24" s="38"/>
      <c r="J24" s="57" t="s">
        <v>97</v>
      </c>
      <c r="K24" s="49"/>
      <c r="L24" s="54">
        <f t="shared" ref="L24:L31" si="9">D39</f>
        <v>13200</v>
      </c>
      <c r="M24" s="35">
        <f t="shared" si="8"/>
        <v>0</v>
      </c>
      <c r="N24" s="38"/>
      <c r="AC24" s="37"/>
      <c r="AD24" s="1" t="str">
        <f>A14</f>
        <v>Consulting Fees Payable</v>
      </c>
      <c r="AE24" s="135">
        <f>I14</f>
        <v>1800</v>
      </c>
    </row>
    <row r="25" spans="1:32" x14ac:dyDescent="0.3">
      <c r="A25" s="37" t="str">
        <f>'TB @ 30 Sept 2025'!A16</f>
        <v>Marketing Expense</v>
      </c>
      <c r="B25" s="36"/>
      <c r="C25" s="46">
        <f>'Tutorial 2 Sol'!T33</f>
        <v>18500</v>
      </c>
      <c r="D25" s="47"/>
      <c r="E25" s="86"/>
      <c r="F25" s="49"/>
      <c r="G25" s="54"/>
      <c r="H25" s="35">
        <f t="shared" si="7"/>
        <v>18500</v>
      </c>
      <c r="I25" s="38"/>
      <c r="J25" s="57" t="s">
        <v>97</v>
      </c>
      <c r="K25" s="49"/>
      <c r="L25" s="54">
        <f t="shared" si="9"/>
        <v>18500</v>
      </c>
      <c r="M25" s="35">
        <f t="shared" si="8"/>
        <v>0</v>
      </c>
      <c r="N25" s="38"/>
      <c r="AC25" s="37"/>
      <c r="AD25" s="1" t="str">
        <f>A15</f>
        <v>Interest Payable</v>
      </c>
      <c r="AE25" s="135">
        <f>I15</f>
        <v>2850</v>
      </c>
    </row>
    <row r="26" spans="1:32" x14ac:dyDescent="0.3">
      <c r="A26" s="37" t="str">
        <f>'TB @ 30 Sept 2025'!A17</f>
        <v>Salaries Expense</v>
      </c>
      <c r="B26" s="36"/>
      <c r="C26" s="46">
        <f>'Tutorial 2 Sol'!T34</f>
        <v>91600</v>
      </c>
      <c r="D26" s="47"/>
      <c r="E26" s="86" t="str">
        <f>'Tutorial 3 Sol'!A23</f>
        <v>(f)</v>
      </c>
      <c r="F26" s="49"/>
      <c r="G26" s="54">
        <f>'Tutorial 3 Sol'!E24</f>
        <v>2200</v>
      </c>
      <c r="H26" s="35">
        <f t="shared" si="7"/>
        <v>89400</v>
      </c>
      <c r="I26" s="38"/>
      <c r="J26" s="57" t="s">
        <v>97</v>
      </c>
      <c r="K26" s="49"/>
      <c r="L26" s="54">
        <f t="shared" si="9"/>
        <v>89400</v>
      </c>
      <c r="M26" s="35">
        <f t="shared" si="8"/>
        <v>0</v>
      </c>
      <c r="N26" s="38"/>
      <c r="AC26" s="37"/>
      <c r="AD26" s="1" t="str">
        <f>A16</f>
        <v>Taxes Payable</v>
      </c>
      <c r="AE26" s="135">
        <f>I16</f>
        <v>4200</v>
      </c>
    </row>
    <row r="27" spans="1:32" x14ac:dyDescent="0.3">
      <c r="A27" s="37" t="str">
        <f>'Tutorial 2 Sol'!N35</f>
        <v>General Admin Expense</v>
      </c>
      <c r="B27" s="36"/>
      <c r="C27" s="46">
        <f>'Tutorial 2 Sol'!T35</f>
        <v>20390</v>
      </c>
      <c r="D27" s="47"/>
      <c r="E27" s="48"/>
      <c r="F27" s="49"/>
      <c r="G27" s="50"/>
      <c r="H27" s="35">
        <f t="shared" si="7"/>
        <v>20390</v>
      </c>
      <c r="I27" s="38"/>
      <c r="J27" s="57" t="s">
        <v>97</v>
      </c>
      <c r="K27" s="49"/>
      <c r="L27" s="54">
        <f t="shared" si="9"/>
        <v>20390</v>
      </c>
      <c r="M27" s="35">
        <f t="shared" si="8"/>
        <v>0</v>
      </c>
      <c r="N27" s="38"/>
      <c r="AC27" s="37"/>
      <c r="AD27" s="1" t="s">
        <v>128</v>
      </c>
      <c r="AE27" s="135">
        <f>N17</f>
        <v>30000</v>
      </c>
    </row>
    <row r="28" spans="1:32" x14ac:dyDescent="0.3">
      <c r="A28" s="37" t="s">
        <v>124</v>
      </c>
      <c r="B28" s="36"/>
      <c r="C28" s="46">
        <v>0</v>
      </c>
      <c r="D28" s="47"/>
      <c r="E28" s="86" t="str">
        <f>'Tutorial 3 Sol'!A17</f>
        <v>(d)</v>
      </c>
      <c r="F28" s="49">
        <f>'Tutorial 3 Sol'!D17</f>
        <v>1800</v>
      </c>
      <c r="G28" s="50"/>
      <c r="H28" s="35">
        <f t="shared" si="7"/>
        <v>1800</v>
      </c>
      <c r="I28" s="38"/>
      <c r="J28" s="57" t="s">
        <v>97</v>
      </c>
      <c r="K28" s="49"/>
      <c r="L28" s="54">
        <f t="shared" si="9"/>
        <v>1800</v>
      </c>
      <c r="M28" s="35">
        <f t="shared" si="8"/>
        <v>0</v>
      </c>
      <c r="N28" s="38"/>
      <c r="AC28" s="4"/>
      <c r="AD28" s="1" t="s">
        <v>67</v>
      </c>
      <c r="AE28" s="141">
        <f>SUM(AE22:AE27)</f>
        <v>67950</v>
      </c>
    </row>
    <row r="29" spans="1:32" x14ac:dyDescent="0.3">
      <c r="A29" s="37" t="s">
        <v>42</v>
      </c>
      <c r="B29" s="36"/>
      <c r="C29" s="46">
        <v>0</v>
      </c>
      <c r="D29" s="47"/>
      <c r="E29" s="48" t="str">
        <f>'Tutorial 3 Sol'!A20</f>
        <v xml:space="preserve">(e) </v>
      </c>
      <c r="F29" s="49">
        <f>'Tutorial 3 Sol'!D20</f>
        <v>8200</v>
      </c>
      <c r="G29" s="50"/>
      <c r="H29" s="35">
        <f t="shared" si="7"/>
        <v>8200</v>
      </c>
      <c r="I29" s="38"/>
      <c r="J29" s="57" t="s">
        <v>97</v>
      </c>
      <c r="K29" s="49"/>
      <c r="L29" s="54">
        <f t="shared" si="9"/>
        <v>8200</v>
      </c>
      <c r="M29" s="35">
        <f t="shared" si="8"/>
        <v>0</v>
      </c>
      <c r="N29" s="38"/>
      <c r="AC29" s="4" t="s">
        <v>68</v>
      </c>
      <c r="AE29" s="135"/>
    </row>
    <row r="30" spans="1:32" x14ac:dyDescent="0.3">
      <c r="A30" s="37" t="s">
        <v>0</v>
      </c>
      <c r="B30" s="36"/>
      <c r="C30" s="46">
        <v>0</v>
      </c>
      <c r="D30" s="47"/>
      <c r="E30" s="57" t="str">
        <f>'Tutorial 3 Sol'!A14</f>
        <v xml:space="preserve">(c) </v>
      </c>
      <c r="F30" s="49">
        <f>'Tutorial 3 Sol'!D14</f>
        <v>2850</v>
      </c>
      <c r="G30" s="50"/>
      <c r="H30" s="35">
        <f t="shared" si="7"/>
        <v>2850</v>
      </c>
      <c r="I30" s="38"/>
      <c r="J30" s="57" t="s">
        <v>97</v>
      </c>
      <c r="K30" s="49"/>
      <c r="L30" s="54">
        <f t="shared" si="9"/>
        <v>2850</v>
      </c>
      <c r="M30" s="35">
        <f t="shared" si="8"/>
        <v>0</v>
      </c>
      <c r="N30" s="38"/>
      <c r="AC30" s="4"/>
      <c r="AD30" s="1" t="str">
        <f>A18</f>
        <v>Long-term Debt</v>
      </c>
      <c r="AE30" s="136">
        <f>I18</f>
        <v>50000</v>
      </c>
    </row>
    <row r="31" spans="1:32" x14ac:dyDescent="0.3">
      <c r="A31" s="37" t="s">
        <v>44</v>
      </c>
      <c r="B31" s="36"/>
      <c r="C31" s="46">
        <v>0</v>
      </c>
      <c r="D31" s="47"/>
      <c r="E31" s="86" t="str">
        <f>'Tutorial 3 Sol'!A26</f>
        <v>(g)</v>
      </c>
      <c r="F31" s="49">
        <f>'Tutorial 3 Sol'!D26</f>
        <v>4200</v>
      </c>
      <c r="G31" s="50"/>
      <c r="H31" s="35">
        <f t="shared" si="7"/>
        <v>4200</v>
      </c>
      <c r="I31" s="38"/>
      <c r="J31" s="57" t="s">
        <v>97</v>
      </c>
      <c r="K31" s="49"/>
      <c r="L31" s="54">
        <f t="shared" si="9"/>
        <v>4200</v>
      </c>
      <c r="M31" s="35">
        <f t="shared" si="8"/>
        <v>0</v>
      </c>
      <c r="N31" s="38"/>
      <c r="AC31" s="4"/>
      <c r="AD31" s="1" t="s">
        <v>153</v>
      </c>
      <c r="AE31" s="136">
        <f>AE30</f>
        <v>50000</v>
      </c>
      <c r="AF31" s="49"/>
    </row>
    <row r="32" spans="1:32" x14ac:dyDescent="0.3">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4" t="s">
        <v>11</v>
      </c>
      <c r="AE32" s="136">
        <f>AE28+AE31</f>
        <v>117950</v>
      </c>
      <c r="AF32" s="49"/>
    </row>
    <row r="33" spans="1:32" x14ac:dyDescent="0.3">
      <c r="D33" s="76">
        <f>C32-D32</f>
        <v>0</v>
      </c>
      <c r="G33" s="76"/>
      <c r="H33" s="77"/>
      <c r="I33" s="76">
        <f>H32-I32</f>
        <v>0</v>
      </c>
      <c r="L33" s="76"/>
      <c r="M33" s="77"/>
      <c r="N33" s="76">
        <f>M32-N32</f>
        <v>0</v>
      </c>
      <c r="AC33" s="37" t="s">
        <v>12</v>
      </c>
      <c r="AE33" s="135"/>
    </row>
    <row r="34" spans="1:32" x14ac:dyDescent="0.3">
      <c r="A34" s="1"/>
      <c r="B34" s="1"/>
      <c r="C34" s="97"/>
      <c r="D34" s="53"/>
      <c r="H34" s="97"/>
      <c r="I34" s="53"/>
      <c r="M34" s="97"/>
      <c r="N34" s="53"/>
      <c r="AC34" s="96" t="str">
        <f>A19</f>
        <v>Share Capital - Ordinary Shares</v>
      </c>
      <c r="AE34" s="135">
        <f>U12</f>
        <v>450000</v>
      </c>
    </row>
    <row r="35" spans="1:32" x14ac:dyDescent="0.3">
      <c r="A35" s="6" t="s">
        <v>28</v>
      </c>
      <c r="B35" s="6"/>
      <c r="C35" s="7"/>
      <c r="D35" s="7"/>
      <c r="E35" s="83"/>
      <c r="F35" s="83"/>
      <c r="G35" s="83"/>
      <c r="H35" s="103"/>
      <c r="I35" s="104"/>
      <c r="M35" s="97"/>
      <c r="N35" s="53"/>
      <c r="AC35" s="96" t="str">
        <f>A20</f>
        <v>Share Capital - Preference Shares (cumulative)</v>
      </c>
      <c r="AE35" s="135">
        <f>W12</f>
        <v>200000</v>
      </c>
      <c r="AF35" s="53"/>
    </row>
    <row r="36" spans="1:32" x14ac:dyDescent="0.3">
      <c r="A36" s="58" t="s">
        <v>147</v>
      </c>
      <c r="H36" s="53"/>
      <c r="I36" s="53"/>
      <c r="M36" s="97"/>
      <c r="N36" s="53"/>
      <c r="AC36" s="96" t="s">
        <v>69</v>
      </c>
      <c r="AE36" s="136">
        <f>Y12</f>
        <v>48306</v>
      </c>
      <c r="AF36" s="49"/>
    </row>
    <row r="37" spans="1:32" x14ac:dyDescent="0.3">
      <c r="A37" s="28" t="str">
        <f>A22</f>
        <v>Sales Revenue</v>
      </c>
      <c r="B37" s="28"/>
      <c r="C37" s="35">
        <f>I22</f>
        <v>315550</v>
      </c>
      <c r="D37" s="28"/>
      <c r="E37" s="1"/>
      <c r="H37" s="53"/>
      <c r="I37" s="53"/>
      <c r="M37" s="97"/>
      <c r="N37" s="53"/>
      <c r="AC37" s="4" t="s">
        <v>70</v>
      </c>
      <c r="AE37" s="136">
        <f>SUM(AE34:AE36)</f>
        <v>698306</v>
      </c>
    </row>
    <row r="38" spans="1:32" x14ac:dyDescent="0.3">
      <c r="A38" s="28"/>
      <c r="B38" s="28" t="str">
        <f t="shared" ref="B38:B46" si="10">A23</f>
        <v>Cost of Goods Sold</v>
      </c>
      <c r="C38" s="28"/>
      <c r="D38" s="35">
        <f>H23</f>
        <v>113934</v>
      </c>
      <c r="E38" s="1"/>
      <c r="H38" s="53"/>
      <c r="I38" s="53"/>
      <c r="M38" s="97"/>
      <c r="N38" s="53"/>
      <c r="AC38" s="59" t="s">
        <v>71</v>
      </c>
      <c r="AD38" s="2"/>
      <c r="AE38" s="142">
        <f>AE37+AE32</f>
        <v>816256</v>
      </c>
    </row>
    <row r="39" spans="1:32" x14ac:dyDescent="0.3">
      <c r="A39" s="28"/>
      <c r="B39" s="28" t="str">
        <f t="shared" si="10"/>
        <v>Rent Expense</v>
      </c>
      <c r="C39" s="28"/>
      <c r="D39" s="35">
        <f t="shared" ref="D39:D46" si="11">H24</f>
        <v>13200</v>
      </c>
      <c r="E39" s="1"/>
      <c r="H39" s="53"/>
      <c r="I39" s="53"/>
      <c r="M39" s="97"/>
      <c r="N39" s="53"/>
      <c r="AC39" s="98"/>
      <c r="AD39" s="99"/>
      <c r="AE39" s="100"/>
    </row>
    <row r="40" spans="1:32" x14ac:dyDescent="0.3">
      <c r="A40" s="28"/>
      <c r="B40" s="28" t="str">
        <f t="shared" si="10"/>
        <v>Marketing Expense</v>
      </c>
      <c r="C40" s="28"/>
      <c r="D40" s="35">
        <f t="shared" si="11"/>
        <v>18500</v>
      </c>
      <c r="E40" s="1"/>
      <c r="H40" s="53"/>
      <c r="I40" s="53"/>
      <c r="M40" s="97"/>
      <c r="N40" s="53"/>
      <c r="AC40" s="101"/>
      <c r="AE40" s="102"/>
    </row>
    <row r="41" spans="1:32" x14ac:dyDescent="0.3">
      <c r="A41" s="28"/>
      <c r="B41" s="28" t="str">
        <f t="shared" si="10"/>
        <v>Salaries Expense</v>
      </c>
      <c r="C41" s="28"/>
      <c r="D41" s="35">
        <f t="shared" si="11"/>
        <v>89400</v>
      </c>
      <c r="E41" s="1"/>
      <c r="H41" s="53"/>
      <c r="I41" s="53"/>
      <c r="M41" s="97"/>
      <c r="N41" s="53"/>
      <c r="AC41" s="101"/>
      <c r="AE41" s="102"/>
    </row>
    <row r="42" spans="1:32" x14ac:dyDescent="0.3">
      <c r="A42" s="28"/>
      <c r="B42" s="28" t="str">
        <f t="shared" si="10"/>
        <v>General Admin Expense</v>
      </c>
      <c r="C42" s="28"/>
      <c r="D42" s="35">
        <f t="shared" si="11"/>
        <v>20390</v>
      </c>
      <c r="E42" s="1"/>
      <c r="H42" s="53"/>
      <c r="I42" s="53"/>
      <c r="M42" s="97"/>
      <c r="N42" s="53"/>
      <c r="AC42" s="101"/>
      <c r="AE42" s="102"/>
    </row>
    <row r="43" spans="1:32" x14ac:dyDescent="0.3">
      <c r="A43" s="28"/>
      <c r="B43" s="28" t="str">
        <f t="shared" si="10"/>
        <v xml:space="preserve">Consulting Fees </v>
      </c>
      <c r="C43" s="28"/>
      <c r="D43" s="35">
        <f t="shared" si="11"/>
        <v>1800</v>
      </c>
      <c r="E43" s="1"/>
      <c r="H43" s="53"/>
      <c r="I43" s="53"/>
      <c r="M43" s="97"/>
      <c r="N43" s="53"/>
      <c r="AC43" s="101"/>
      <c r="AE43" s="102"/>
    </row>
    <row r="44" spans="1:32" x14ac:dyDescent="0.3">
      <c r="A44" s="28"/>
      <c r="B44" s="28" t="str">
        <f t="shared" si="10"/>
        <v>Depreciation Expense</v>
      </c>
      <c r="C44" s="28"/>
      <c r="D44" s="35">
        <f t="shared" si="11"/>
        <v>8200</v>
      </c>
      <c r="E44" s="1"/>
      <c r="H44" s="53"/>
      <c r="I44" s="53"/>
      <c r="M44" s="97"/>
      <c r="N44" s="53"/>
      <c r="AC44" s="101"/>
      <c r="AE44" s="102"/>
    </row>
    <row r="45" spans="1:32" x14ac:dyDescent="0.3">
      <c r="A45" s="28"/>
      <c r="B45" s="28" t="str">
        <f t="shared" si="10"/>
        <v>Interest Expense</v>
      </c>
      <c r="C45" s="28"/>
      <c r="D45" s="35">
        <f t="shared" si="11"/>
        <v>2850</v>
      </c>
      <c r="E45" s="1"/>
      <c r="H45" s="53"/>
      <c r="I45" s="53"/>
      <c r="M45" s="97"/>
      <c r="N45" s="53"/>
      <c r="AC45" s="101"/>
      <c r="AE45" s="102"/>
    </row>
    <row r="46" spans="1:32" ht="15.6" customHeight="1" x14ac:dyDescent="0.3">
      <c r="A46" s="28"/>
      <c r="B46" s="28" t="str">
        <f t="shared" si="10"/>
        <v>Income Tax Expense</v>
      </c>
      <c r="C46" s="28"/>
      <c r="D46" s="35">
        <f t="shared" si="11"/>
        <v>4200</v>
      </c>
      <c r="E46" s="1"/>
      <c r="H46" s="53"/>
      <c r="I46" s="53"/>
      <c r="M46" s="97"/>
      <c r="N46" s="53"/>
      <c r="AC46" s="101"/>
      <c r="AE46" s="102"/>
    </row>
    <row r="47" spans="1:32" x14ac:dyDescent="0.3">
      <c r="A47" s="28"/>
      <c r="B47" s="28" t="s">
        <v>69</v>
      </c>
      <c r="C47" s="28"/>
      <c r="D47" s="35">
        <f>C37-SUM(D38:D46)</f>
        <v>43076</v>
      </c>
      <c r="E47" s="1"/>
      <c r="H47" s="53"/>
      <c r="I47" s="53"/>
      <c r="M47" s="97"/>
      <c r="N47" s="53"/>
    </row>
    <row r="48" spans="1:32" x14ac:dyDescent="0.3">
      <c r="H48" s="53"/>
      <c r="I48" s="53"/>
      <c r="M48" s="97"/>
      <c r="N48" s="53"/>
    </row>
    <row r="49" spans="1:31" ht="14.4" customHeight="1" x14ac:dyDescent="0.3">
      <c r="M49" s="97"/>
      <c r="N49" s="53"/>
    </row>
    <row r="50" spans="1:31" x14ac:dyDescent="0.3">
      <c r="A50" s="6" t="s">
        <v>29</v>
      </c>
      <c r="B50" s="83"/>
      <c r="C50" s="7"/>
      <c r="D50" s="7"/>
      <c r="E50" s="83"/>
      <c r="F50" s="83"/>
      <c r="G50" s="83"/>
      <c r="H50" s="7"/>
      <c r="I50" s="7"/>
      <c r="M50" s="97"/>
      <c r="N50" s="53"/>
    </row>
    <row r="51" spans="1:31" s="28" customFormat="1" ht="14.4" customHeight="1" x14ac:dyDescent="0.3">
      <c r="A51" s="1"/>
      <c r="B51" s="1"/>
      <c r="C51" s="173" t="s">
        <v>155</v>
      </c>
      <c r="D51" s="173"/>
      <c r="E51" s="1"/>
      <c r="F51" s="1"/>
      <c r="G51" s="1"/>
      <c r="H51" s="1"/>
      <c r="I51" s="1"/>
      <c r="J51" s="58"/>
      <c r="K51" s="58"/>
      <c r="L51" s="58"/>
      <c r="M51" s="97"/>
      <c r="N51" s="53"/>
      <c r="P51" s="1"/>
      <c r="Q51" s="1"/>
      <c r="R51" s="1"/>
      <c r="AC51" s="1"/>
      <c r="AD51" s="1"/>
      <c r="AE51" s="1"/>
    </row>
    <row r="52" spans="1:31" x14ac:dyDescent="0.3">
      <c r="A52" s="28" t="s">
        <v>72</v>
      </c>
      <c r="B52" s="28" t="s">
        <v>73</v>
      </c>
      <c r="C52" s="184">
        <f>C53/C54</f>
        <v>0.13651085406433211</v>
      </c>
      <c r="D52" s="184"/>
      <c r="E52" s="1"/>
      <c r="F52" s="1"/>
      <c r="G52" s="1"/>
      <c r="M52" s="97"/>
      <c r="N52" s="53"/>
      <c r="P52" s="28"/>
      <c r="Q52" s="28"/>
      <c r="R52" s="28"/>
    </row>
    <row r="53" spans="1:31" x14ac:dyDescent="0.3">
      <c r="A53" s="1"/>
      <c r="B53" s="1" t="s">
        <v>58</v>
      </c>
      <c r="C53" s="172">
        <f>R20</f>
        <v>43076</v>
      </c>
      <c r="D53" s="172"/>
      <c r="E53" s="1"/>
      <c r="F53" s="1"/>
      <c r="G53" s="1"/>
      <c r="M53" s="97"/>
      <c r="N53" s="53"/>
    </row>
    <row r="54" spans="1:31" x14ac:dyDescent="0.3">
      <c r="A54" s="1"/>
      <c r="B54" s="1" t="s">
        <v>74</v>
      </c>
      <c r="C54" s="172">
        <f>R7</f>
        <v>315550</v>
      </c>
      <c r="D54" s="172"/>
      <c r="E54" s="1"/>
      <c r="F54" s="1"/>
      <c r="G54" s="1"/>
      <c r="M54" s="97"/>
      <c r="N54" s="53"/>
    </row>
    <row r="55" spans="1:31" x14ac:dyDescent="0.3">
      <c r="A55" s="1"/>
      <c r="B55" s="1"/>
      <c r="C55" s="183"/>
      <c r="D55" s="183"/>
      <c r="E55" s="1"/>
      <c r="F55" s="1"/>
      <c r="G55" s="1"/>
      <c r="M55" s="97"/>
      <c r="N55" s="53"/>
    </row>
    <row r="56" spans="1:31" x14ac:dyDescent="0.3">
      <c r="A56" s="28" t="s">
        <v>75</v>
      </c>
      <c r="B56" s="28" t="s">
        <v>76</v>
      </c>
      <c r="C56" s="184">
        <f>C57/C60</f>
        <v>6.6780044121089607E-2</v>
      </c>
      <c r="D56" s="184"/>
      <c r="E56" s="28"/>
      <c r="F56" s="1"/>
      <c r="G56" s="1"/>
      <c r="H56" s="28"/>
      <c r="I56" s="28"/>
      <c r="M56" s="97"/>
      <c r="N56" s="53"/>
      <c r="AC56" s="28"/>
      <c r="AD56" s="28"/>
      <c r="AE56" s="28"/>
    </row>
    <row r="57" spans="1:31" s="28" customFormat="1" x14ac:dyDescent="0.3">
      <c r="A57" s="1"/>
      <c r="B57" s="1" t="s">
        <v>58</v>
      </c>
      <c r="C57" s="172">
        <f>C53</f>
        <v>43076</v>
      </c>
      <c r="D57" s="172"/>
      <c r="E57" s="1"/>
      <c r="F57" s="1"/>
      <c r="G57" s="1"/>
      <c r="H57" s="1"/>
      <c r="I57" s="1"/>
      <c r="J57" s="58"/>
      <c r="K57" s="58"/>
      <c r="L57" s="58"/>
      <c r="M57" s="97"/>
      <c r="N57" s="53"/>
      <c r="P57" s="1"/>
      <c r="Q57" s="1"/>
      <c r="R57" s="1"/>
      <c r="AC57" s="1"/>
      <c r="AD57" s="1"/>
      <c r="AE57" s="1"/>
    </row>
    <row r="58" spans="1:31" x14ac:dyDescent="0.3">
      <c r="A58" s="1"/>
      <c r="B58" s="1" t="s">
        <v>77</v>
      </c>
      <c r="C58" s="172">
        <f>'Tutorial 2 Sol'!X7</f>
        <v>473830</v>
      </c>
      <c r="D58" s="172"/>
      <c r="E58" s="1"/>
      <c r="F58" s="1"/>
      <c r="G58" s="1"/>
      <c r="M58" s="97"/>
      <c r="N58" s="53"/>
      <c r="P58" s="28"/>
      <c r="Q58" s="28"/>
      <c r="R58" s="28"/>
    </row>
    <row r="59" spans="1:31" x14ac:dyDescent="0.3">
      <c r="A59" s="1"/>
      <c r="B59" s="1" t="s">
        <v>78</v>
      </c>
      <c r="C59" s="172">
        <f>AE18</f>
        <v>816256</v>
      </c>
      <c r="D59" s="172"/>
      <c r="E59" s="1"/>
      <c r="F59" s="1"/>
      <c r="G59" s="1"/>
      <c r="M59" s="97"/>
      <c r="N59" s="53"/>
    </row>
    <row r="60" spans="1:31" x14ac:dyDescent="0.3">
      <c r="A60" s="1"/>
      <c r="B60" s="1" t="s">
        <v>79</v>
      </c>
      <c r="C60" s="172">
        <f>SUM(C58:C59)/2</f>
        <v>645043</v>
      </c>
      <c r="D60" s="172"/>
      <c r="E60" s="1"/>
      <c r="F60" s="1"/>
      <c r="G60" s="1"/>
      <c r="M60" s="97"/>
      <c r="N60" s="53"/>
    </row>
    <row r="61" spans="1:31" x14ac:dyDescent="0.3">
      <c r="A61" s="1"/>
      <c r="B61" s="1"/>
      <c r="C61" s="183"/>
      <c r="D61" s="183"/>
      <c r="E61" s="1"/>
      <c r="F61" s="1"/>
      <c r="G61" s="1"/>
      <c r="M61" s="97"/>
      <c r="N61" s="53"/>
    </row>
    <row r="62" spans="1:31" x14ac:dyDescent="0.3">
      <c r="A62" s="28" t="s">
        <v>80</v>
      </c>
      <c r="B62" s="28" t="s">
        <v>30</v>
      </c>
      <c r="C62" s="198">
        <f>C63/C64</f>
        <v>0.14450123490669595</v>
      </c>
      <c r="D62" s="198"/>
      <c r="E62" s="28"/>
      <c r="F62" s="1"/>
      <c r="G62" s="1"/>
      <c r="H62" s="28"/>
      <c r="I62" s="28"/>
      <c r="M62" s="97"/>
      <c r="N62" s="53"/>
      <c r="AC62" s="28"/>
      <c r="AD62" s="28"/>
      <c r="AE62" s="28"/>
    </row>
    <row r="63" spans="1:31" x14ac:dyDescent="0.3">
      <c r="A63" s="1"/>
      <c r="B63" s="1" t="s">
        <v>11</v>
      </c>
      <c r="C63" s="172">
        <f>AE32</f>
        <v>117950</v>
      </c>
      <c r="D63" s="172"/>
      <c r="E63" s="1"/>
      <c r="F63" s="1"/>
      <c r="G63" s="1"/>
      <c r="M63" s="97"/>
      <c r="N63" s="53"/>
    </row>
    <row r="64" spans="1:31" x14ac:dyDescent="0.3">
      <c r="A64" s="1"/>
      <c r="B64" s="1" t="s">
        <v>9</v>
      </c>
      <c r="C64" s="172">
        <f>AE18</f>
        <v>816256</v>
      </c>
      <c r="D64" s="172"/>
      <c r="E64" s="1"/>
      <c r="F64" s="1"/>
      <c r="G64" s="1"/>
      <c r="M64" s="97"/>
      <c r="N64" s="53"/>
      <c r="O64" s="114"/>
    </row>
    <row r="65" spans="1:14" x14ac:dyDescent="0.3">
      <c r="A65" s="1"/>
      <c r="B65" s="1"/>
      <c r="E65" s="1"/>
      <c r="F65" s="1"/>
      <c r="G65" s="1"/>
      <c r="M65" s="97"/>
      <c r="N65" s="53"/>
    </row>
    <row r="66" spans="1:14" x14ac:dyDescent="0.3">
      <c r="A66" s="1"/>
      <c r="B66" s="1"/>
      <c r="E66" s="1"/>
      <c r="F66" s="1"/>
      <c r="G66" s="1"/>
      <c r="M66" s="97"/>
      <c r="N66" s="53"/>
    </row>
    <row r="67" spans="1:14" x14ac:dyDescent="0.3">
      <c r="F67" s="1"/>
      <c r="G67" s="1"/>
      <c r="M67" s="97"/>
      <c r="N67" s="53"/>
    </row>
    <row r="68" spans="1:14" x14ac:dyDescent="0.3">
      <c r="M68" s="97"/>
      <c r="N68" s="53"/>
    </row>
    <row r="69" spans="1:14" x14ac:dyDescent="0.3">
      <c r="M69" s="97"/>
      <c r="N69" s="53"/>
    </row>
  </sheetData>
  <mergeCells count="29">
    <mergeCell ref="C61:D61"/>
    <mergeCell ref="C62:D62"/>
    <mergeCell ref="C63:D63"/>
    <mergeCell ref="C64:D64"/>
    <mergeCell ref="C60:D60"/>
    <mergeCell ref="C56:D56"/>
    <mergeCell ref="A3:B4"/>
    <mergeCell ref="C3:D3"/>
    <mergeCell ref="H3:I3"/>
    <mergeCell ref="P3:R3"/>
    <mergeCell ref="E3:G3"/>
    <mergeCell ref="J3:L3"/>
    <mergeCell ref="M3:N3"/>
    <mergeCell ref="C57:D57"/>
    <mergeCell ref="C58:D58"/>
    <mergeCell ref="C59:D59"/>
    <mergeCell ref="C51:D51"/>
    <mergeCell ref="AC3:AE3"/>
    <mergeCell ref="P4:R4"/>
    <mergeCell ref="T4:AA4"/>
    <mergeCell ref="AC4:AE4"/>
    <mergeCell ref="P5:R5"/>
    <mergeCell ref="T5:AA5"/>
    <mergeCell ref="AC5:AE5"/>
    <mergeCell ref="T3:AA3"/>
    <mergeCell ref="C55:D55"/>
    <mergeCell ref="C52:D52"/>
    <mergeCell ref="C53:D53"/>
    <mergeCell ref="C54:D54"/>
  </mergeCells>
  <pageMargins left="0.7" right="0.7" top="0.75" bottom="0.75" header="0.3" footer="0.3"/>
  <pageSetup orientation="portrait" horizontalDpi="4294967295" verticalDpi="4294967295" r:id="rId1"/>
  <ignoredErrors>
    <ignoredError sqref="R19"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00" zoomScaleNormal="100" workbookViewId="0">
      <selection activeCell="J110" sqref="J110"/>
    </sheetView>
  </sheetViews>
  <sheetFormatPr defaultRowHeight="14.4" x14ac:dyDescent="0.3"/>
  <cols>
    <col min="1" max="1" width="5.44140625" style="1" customWidth="1"/>
    <col min="2" max="2" width="20.44140625" style="1" customWidth="1"/>
    <col min="3" max="3" width="15.44140625" style="1" customWidth="1"/>
    <col min="4" max="4" width="8.6640625" style="1" customWidth="1"/>
    <col min="5" max="5" width="18.44140625" style="1" customWidth="1"/>
    <col min="6" max="6" width="1.33203125" style="1" customWidth="1"/>
    <col min="7" max="7" width="13.33203125" style="1" customWidth="1"/>
    <col min="12" max="12" width="9.5546875" bestFit="1" customWidth="1"/>
  </cols>
  <sheetData>
    <row r="1" spans="1:10" ht="18" x14ac:dyDescent="0.35">
      <c r="A1" s="67" t="s">
        <v>82</v>
      </c>
    </row>
    <row r="2" spans="1:10" x14ac:dyDescent="0.3">
      <c r="A2" s="151"/>
    </row>
    <row r="3" spans="1:10" s="134" customFormat="1" ht="40.799999999999997" customHeight="1" x14ac:dyDescent="0.3">
      <c r="A3" s="202" t="s">
        <v>19</v>
      </c>
      <c r="B3" s="203" t="s">
        <v>130</v>
      </c>
      <c r="C3" s="203"/>
      <c r="D3" s="203"/>
      <c r="E3" s="203"/>
      <c r="F3" s="203"/>
      <c r="G3" s="203"/>
    </row>
    <row r="4" spans="1:10" x14ac:dyDescent="0.3">
      <c r="A4" s="108"/>
      <c r="B4" s="124" t="s">
        <v>131</v>
      </c>
      <c r="C4" s="121"/>
      <c r="D4" s="121"/>
      <c r="E4" s="121"/>
      <c r="F4" s="121"/>
      <c r="G4" s="125">
        <f>26400/24*6</f>
        <v>6600</v>
      </c>
    </row>
    <row r="5" spans="1:10" x14ac:dyDescent="0.3">
      <c r="A5" s="108"/>
      <c r="B5" s="124" t="s">
        <v>99</v>
      </c>
      <c r="C5" s="121"/>
      <c r="D5" s="121"/>
      <c r="E5" s="121"/>
      <c r="F5" s="121"/>
      <c r="G5" s="125">
        <f>-'Tutorial 4 Sol'!R10</f>
        <v>13200</v>
      </c>
    </row>
    <row r="6" spans="1:10" x14ac:dyDescent="0.3">
      <c r="A6" s="108"/>
      <c r="B6" s="126" t="s">
        <v>98</v>
      </c>
      <c r="C6" s="127"/>
      <c r="D6" s="127"/>
      <c r="E6" s="127"/>
      <c r="F6" s="127"/>
      <c r="G6" s="128">
        <f>G4-G5</f>
        <v>-6600</v>
      </c>
    </row>
    <row r="7" spans="1:10" x14ac:dyDescent="0.3">
      <c r="A7" s="108"/>
      <c r="B7" s="121"/>
      <c r="C7" s="121"/>
      <c r="D7" s="121"/>
      <c r="E7" s="121"/>
      <c r="F7" s="121"/>
      <c r="G7" s="121"/>
    </row>
    <row r="8" spans="1:10" x14ac:dyDescent="0.3">
      <c r="A8" s="107" t="s">
        <v>83</v>
      </c>
      <c r="B8" s="58"/>
    </row>
    <row r="9" spans="1:10" x14ac:dyDescent="0.3">
      <c r="A9" s="1" t="s">
        <v>18</v>
      </c>
      <c r="C9" s="109">
        <f>-G6</f>
        <v>6600</v>
      </c>
      <c r="D9" s="109"/>
      <c r="J9" s="110"/>
    </row>
    <row r="10" spans="1:10" x14ac:dyDescent="0.3">
      <c r="B10" s="1" t="s">
        <v>16</v>
      </c>
      <c r="C10" s="109"/>
      <c r="D10" s="109">
        <f>-G6</f>
        <v>6600</v>
      </c>
      <c r="G10" s="152"/>
    </row>
    <row r="11" spans="1:10" x14ac:dyDescent="0.3">
      <c r="C11" s="109"/>
      <c r="D11" s="109"/>
    </row>
    <row r="12" spans="1:10" x14ac:dyDescent="0.3">
      <c r="A12" s="107" t="s">
        <v>84</v>
      </c>
      <c r="C12" s="109"/>
      <c r="D12" s="109"/>
    </row>
    <row r="13" spans="1:10" ht="28.8" x14ac:dyDescent="0.3">
      <c r="C13" s="106" t="s">
        <v>132</v>
      </c>
      <c r="D13" s="199" t="s">
        <v>85</v>
      </c>
      <c r="E13" s="199"/>
      <c r="F13" s="199"/>
      <c r="G13" s="105" t="s">
        <v>86</v>
      </c>
    </row>
    <row r="14" spans="1:10" x14ac:dyDescent="0.3">
      <c r="A14" s="28" t="s">
        <v>72</v>
      </c>
      <c r="B14" s="28" t="s">
        <v>73</v>
      </c>
      <c r="C14" s="112">
        <f>C15/C16</f>
        <v>0.13651085406433211</v>
      </c>
      <c r="G14" s="112">
        <f>G15/G16</f>
        <v>0.15742671525907145</v>
      </c>
    </row>
    <row r="15" spans="1:10" x14ac:dyDescent="0.3">
      <c r="B15" s="1" t="s">
        <v>58</v>
      </c>
      <c r="C15" s="109">
        <f>'Tutorial 4 Sol'!C53:D53</f>
        <v>43076</v>
      </c>
      <c r="D15" s="109">
        <f>D10</f>
        <v>6600</v>
      </c>
      <c r="E15" s="1" t="s">
        <v>100</v>
      </c>
      <c r="G15" s="109">
        <f>C15+D15</f>
        <v>49676</v>
      </c>
    </row>
    <row r="16" spans="1:10" x14ac:dyDescent="0.3">
      <c r="B16" s="1" t="s">
        <v>74</v>
      </c>
      <c r="C16" s="109">
        <f>'Tutorial 4 Sol'!C54:D54</f>
        <v>315550</v>
      </c>
      <c r="D16" s="109"/>
      <c r="G16" s="109">
        <f>C16+D16</f>
        <v>315550</v>
      </c>
    </row>
    <row r="18" spans="1:10" x14ac:dyDescent="0.3">
      <c r="A18" s="28" t="s">
        <v>75</v>
      </c>
      <c r="B18" s="28" t="s">
        <v>76</v>
      </c>
      <c r="C18" s="112">
        <f>C19/C22</f>
        <v>6.6780044121089607E-2</v>
      </c>
      <c r="G18" s="112">
        <f>G19/G22</f>
        <v>7.6619937286282108E-2</v>
      </c>
    </row>
    <row r="19" spans="1:10" x14ac:dyDescent="0.3">
      <c r="B19" s="1" t="s">
        <v>58</v>
      </c>
      <c r="C19" s="109">
        <f>'Tutorial 4 Sol'!C57:D57</f>
        <v>43076</v>
      </c>
      <c r="D19" s="109">
        <f>D15</f>
        <v>6600</v>
      </c>
      <c r="E19" s="1" t="str">
        <f>E15</f>
        <v>increase</v>
      </c>
      <c r="G19" s="109">
        <f>C19+D19</f>
        <v>49676</v>
      </c>
    </row>
    <row r="20" spans="1:10" x14ac:dyDescent="0.3">
      <c r="B20" s="1" t="s">
        <v>77</v>
      </c>
      <c r="C20" s="109">
        <f>'Tutorial 4 Sol'!C58:D58</f>
        <v>473830</v>
      </c>
      <c r="G20" s="109">
        <f>C20+D20</f>
        <v>473830</v>
      </c>
    </row>
    <row r="21" spans="1:10" x14ac:dyDescent="0.3">
      <c r="B21" s="1" t="s">
        <v>78</v>
      </c>
      <c r="C21" s="109">
        <f>'Tutorial 4 Sol'!C59:D59</f>
        <v>816256</v>
      </c>
      <c r="D21" s="109">
        <f>C9</f>
        <v>6600</v>
      </c>
      <c r="E21" s="1" t="s">
        <v>101</v>
      </c>
      <c r="G21" s="109">
        <f>C21+D21</f>
        <v>822856</v>
      </c>
    </row>
    <row r="22" spans="1:10" x14ac:dyDescent="0.3">
      <c r="B22" s="1" t="s">
        <v>79</v>
      </c>
      <c r="C22" s="109">
        <f>'Tutorial 4 Sol'!C60:D60</f>
        <v>645043</v>
      </c>
      <c r="G22" s="109">
        <f>SUM(G20:G21)/2</f>
        <v>648343</v>
      </c>
    </row>
    <row r="24" spans="1:10" x14ac:dyDescent="0.3">
      <c r="A24" s="28" t="s">
        <v>80</v>
      </c>
      <c r="B24" s="28" t="s">
        <v>30</v>
      </c>
      <c r="C24" s="112">
        <f>C25/C26</f>
        <v>0.14450123490669595</v>
      </c>
      <c r="G24" s="112">
        <f>G25/G26</f>
        <v>0.14334221297529579</v>
      </c>
    </row>
    <row r="25" spans="1:10" x14ac:dyDescent="0.3">
      <c r="B25" s="1" t="s">
        <v>11</v>
      </c>
      <c r="C25" s="109">
        <f>'Tutorial 4 Sol'!C63:D63</f>
        <v>117950</v>
      </c>
      <c r="G25" s="109">
        <f>C25</f>
        <v>117950</v>
      </c>
    </row>
    <row r="26" spans="1:10" x14ac:dyDescent="0.3">
      <c r="B26" s="1" t="s">
        <v>9</v>
      </c>
      <c r="C26" s="109">
        <f>'Tutorial 4 Sol'!C64:D64</f>
        <v>816256</v>
      </c>
      <c r="D26" s="109">
        <f>D21</f>
        <v>6600</v>
      </c>
      <c r="E26" s="1" t="str">
        <f>E21</f>
        <v>prepaid rent increase</v>
      </c>
      <c r="G26" s="109">
        <f>C26+D26</f>
        <v>822856</v>
      </c>
    </row>
    <row r="28" spans="1:10" ht="96.45" customHeight="1" x14ac:dyDescent="0.3">
      <c r="A28" s="200" t="s">
        <v>137</v>
      </c>
      <c r="B28" s="200"/>
      <c r="C28" s="200"/>
      <c r="D28" s="200"/>
      <c r="E28" s="200"/>
      <c r="F28" s="200"/>
      <c r="G28" s="200"/>
    </row>
    <row r="30" spans="1:10" s="134" customFormat="1" ht="54" customHeight="1" x14ac:dyDescent="0.3">
      <c r="A30" s="202" t="s">
        <v>20</v>
      </c>
      <c r="B30" s="203" t="s">
        <v>134</v>
      </c>
      <c r="C30" s="203"/>
      <c r="D30" s="203"/>
      <c r="E30" s="203"/>
      <c r="F30" s="203"/>
      <c r="G30" s="203"/>
    </row>
    <row r="31" spans="1:10" x14ac:dyDescent="0.3">
      <c r="A31" s="107" t="s">
        <v>83</v>
      </c>
      <c r="B31" s="58"/>
    </row>
    <row r="32" spans="1:10" x14ac:dyDescent="0.3">
      <c r="A32" s="1" t="s">
        <v>50</v>
      </c>
      <c r="C32" s="109">
        <v>9000</v>
      </c>
      <c r="D32" s="109"/>
      <c r="J32" s="110"/>
    </row>
    <row r="33" spans="1:7" x14ac:dyDescent="0.3">
      <c r="B33" s="1" t="s">
        <v>133</v>
      </c>
      <c r="C33" s="109"/>
      <c r="D33" s="109">
        <f>C32</f>
        <v>9000</v>
      </c>
      <c r="G33" s="111"/>
    </row>
    <row r="34" spans="1:7" x14ac:dyDescent="0.3">
      <c r="C34" s="109"/>
      <c r="D34" s="109"/>
    </row>
    <row r="35" spans="1:7" x14ac:dyDescent="0.3">
      <c r="A35" s="107" t="s">
        <v>84</v>
      </c>
      <c r="C35" s="109"/>
      <c r="D35" s="109"/>
    </row>
    <row r="36" spans="1:7" ht="28.8" x14ac:dyDescent="0.3">
      <c r="C36" s="106" t="str">
        <f>C13</f>
        <v>From Tutorial 4 Part (5)</v>
      </c>
      <c r="D36" s="199" t="s">
        <v>85</v>
      </c>
      <c r="E36" s="199"/>
      <c r="F36" s="199"/>
      <c r="G36" s="105" t="s">
        <v>86</v>
      </c>
    </row>
    <row r="37" spans="1:7" x14ac:dyDescent="0.3">
      <c r="A37" s="28" t="s">
        <v>72</v>
      </c>
      <c r="B37" s="28" t="s">
        <v>73</v>
      </c>
      <c r="C37" s="112">
        <f>C38/C39</f>
        <v>0.13651085406433211</v>
      </c>
      <c r="G37" s="112">
        <f>G38/G39</f>
        <v>0.11115968031316262</v>
      </c>
    </row>
    <row r="38" spans="1:7" x14ac:dyDescent="0.3">
      <c r="B38" s="1" t="s">
        <v>58</v>
      </c>
      <c r="C38" s="109">
        <f>C15</f>
        <v>43076</v>
      </c>
      <c r="D38" s="109">
        <f>-C32</f>
        <v>-9000</v>
      </c>
      <c r="E38" s="1" t="s">
        <v>87</v>
      </c>
      <c r="G38" s="109">
        <f>C38+D38</f>
        <v>34076</v>
      </c>
    </row>
    <row r="39" spans="1:7" x14ac:dyDescent="0.3">
      <c r="B39" s="1" t="s">
        <v>74</v>
      </c>
      <c r="C39" s="109">
        <f>C16</f>
        <v>315550</v>
      </c>
      <c r="D39" s="109">
        <f>D38</f>
        <v>-9000</v>
      </c>
      <c r="E39" s="1" t="str">
        <f>E38</f>
        <v>decrease</v>
      </c>
      <c r="G39" s="109">
        <f>C39+D39</f>
        <v>306550</v>
      </c>
    </row>
    <row r="41" spans="1:7" x14ac:dyDescent="0.3">
      <c r="A41" s="28" t="s">
        <v>75</v>
      </c>
      <c r="B41" s="28" t="s">
        <v>76</v>
      </c>
      <c r="C41" s="112">
        <f>C42/C45</f>
        <v>6.6780044121089607E-2</v>
      </c>
      <c r="G41" s="112">
        <f>G42/G45</f>
        <v>5.2827485919543352E-2</v>
      </c>
    </row>
    <row r="42" spans="1:7" x14ac:dyDescent="0.3">
      <c r="B42" s="1" t="s">
        <v>58</v>
      </c>
      <c r="C42" s="109">
        <f>C19</f>
        <v>43076</v>
      </c>
      <c r="D42" s="109">
        <f>D39</f>
        <v>-9000</v>
      </c>
      <c r="E42" s="1" t="str">
        <f>E39</f>
        <v>decrease</v>
      </c>
      <c r="G42" s="109">
        <f>C42+D42</f>
        <v>34076</v>
      </c>
    </row>
    <row r="43" spans="1:7" x14ac:dyDescent="0.3">
      <c r="B43" s="1" t="s">
        <v>77</v>
      </c>
      <c r="C43" s="109">
        <f>C20</f>
        <v>473830</v>
      </c>
      <c r="G43" s="109">
        <f>C43+D43</f>
        <v>473830</v>
      </c>
    </row>
    <row r="44" spans="1:7" x14ac:dyDescent="0.3">
      <c r="B44" s="1" t="s">
        <v>78</v>
      </c>
      <c r="C44" s="109">
        <f>C21</f>
        <v>816256</v>
      </c>
      <c r="D44" s="109"/>
      <c r="G44" s="109">
        <f>C44+D44</f>
        <v>816256</v>
      </c>
    </row>
    <row r="45" spans="1:7" x14ac:dyDescent="0.3">
      <c r="B45" s="1" t="s">
        <v>79</v>
      </c>
      <c r="C45" s="109">
        <f>C22</f>
        <v>645043</v>
      </c>
      <c r="G45" s="109">
        <f>SUM(G43:G44)/2</f>
        <v>645043</v>
      </c>
    </row>
    <row r="47" spans="1:7" x14ac:dyDescent="0.3">
      <c r="A47" s="28" t="s">
        <v>80</v>
      </c>
      <c r="B47" s="28" t="s">
        <v>30</v>
      </c>
      <c r="C47" s="112">
        <f>C48/C49</f>
        <v>0.14450123490669595</v>
      </c>
      <c r="G47" s="112">
        <f>G48/G49</f>
        <v>0.15552718754900424</v>
      </c>
    </row>
    <row r="48" spans="1:7" x14ac:dyDescent="0.3">
      <c r="B48" s="1" t="s">
        <v>11</v>
      </c>
      <c r="C48" s="109">
        <f>C25</f>
        <v>117950</v>
      </c>
      <c r="D48" s="109">
        <f>D33</f>
        <v>9000</v>
      </c>
      <c r="E48" s="1" t="s">
        <v>100</v>
      </c>
      <c r="G48" s="109">
        <f>C48+D48</f>
        <v>126950</v>
      </c>
    </row>
    <row r="49" spans="1:7" x14ac:dyDescent="0.3">
      <c r="B49" s="1" t="s">
        <v>9</v>
      </c>
      <c r="C49" s="109">
        <f>C26</f>
        <v>816256</v>
      </c>
      <c r="D49" s="109"/>
      <c r="G49" s="109">
        <f>C49+D49</f>
        <v>816256</v>
      </c>
    </row>
    <row r="51" spans="1:7" ht="94.2" customHeight="1" x14ac:dyDescent="0.3">
      <c r="A51" s="200" t="s">
        <v>138</v>
      </c>
      <c r="B51" s="200"/>
      <c r="C51" s="200"/>
      <c r="D51" s="200"/>
      <c r="E51" s="200"/>
      <c r="F51" s="200"/>
      <c r="G51" s="200"/>
    </row>
    <row r="53" spans="1:7" s="134" customFormat="1" ht="36" customHeight="1" x14ac:dyDescent="0.3">
      <c r="A53" s="204" t="s">
        <v>21</v>
      </c>
      <c r="B53" s="203" t="s">
        <v>135</v>
      </c>
      <c r="C53" s="203"/>
      <c r="D53" s="203"/>
      <c r="E53" s="203"/>
      <c r="F53" s="203"/>
      <c r="G53" s="203"/>
    </row>
    <row r="54" spans="1:7" x14ac:dyDescent="0.3">
      <c r="A54" s="107" t="s">
        <v>83</v>
      </c>
      <c r="B54" s="58"/>
    </row>
    <row r="55" spans="1:7" x14ac:dyDescent="0.3">
      <c r="A55" s="1" t="s">
        <v>5</v>
      </c>
      <c r="C55" s="109">
        <v>5000</v>
      </c>
      <c r="D55" s="109"/>
    </row>
    <row r="56" spans="1:7" x14ac:dyDescent="0.3">
      <c r="B56" s="1" t="s">
        <v>4</v>
      </c>
      <c r="C56" s="109"/>
      <c r="D56" s="109">
        <f>C55</f>
        <v>5000</v>
      </c>
    </row>
    <row r="57" spans="1:7" x14ac:dyDescent="0.3">
      <c r="C57" s="109"/>
      <c r="D57" s="109"/>
    </row>
    <row r="58" spans="1:7" x14ac:dyDescent="0.3">
      <c r="A58" s="107" t="s">
        <v>84</v>
      </c>
      <c r="C58" s="109"/>
      <c r="D58" s="109"/>
    </row>
    <row r="59" spans="1:7" ht="28.8" x14ac:dyDescent="0.3">
      <c r="C59" s="106" t="str">
        <f>C36</f>
        <v>From Tutorial 4 Part (5)</v>
      </c>
      <c r="D59" s="199" t="s">
        <v>85</v>
      </c>
      <c r="E59" s="199"/>
      <c r="F59" s="199"/>
      <c r="G59" s="105" t="s">
        <v>86</v>
      </c>
    </row>
    <row r="60" spans="1:7" x14ac:dyDescent="0.3">
      <c r="A60" s="28" t="s">
        <v>72</v>
      </c>
      <c r="B60" s="28" t="s">
        <v>73</v>
      </c>
      <c r="C60" s="112">
        <f>C61/C62</f>
        <v>0.13651085406433211</v>
      </c>
      <c r="G60" s="112">
        <f>G61/G62</f>
        <v>0.12066550467437807</v>
      </c>
    </row>
    <row r="61" spans="1:7" x14ac:dyDescent="0.3">
      <c r="B61" s="1" t="s">
        <v>58</v>
      </c>
      <c r="C61" s="109">
        <f>C38</f>
        <v>43076</v>
      </c>
      <c r="D61" s="109">
        <f>-C55</f>
        <v>-5000</v>
      </c>
      <c r="E61" s="1" t="s">
        <v>87</v>
      </c>
      <c r="G61" s="109">
        <f>C61+D61</f>
        <v>38076</v>
      </c>
    </row>
    <row r="62" spans="1:7" x14ac:dyDescent="0.3">
      <c r="B62" s="1" t="s">
        <v>74</v>
      </c>
      <c r="C62" s="109">
        <f>C39</f>
        <v>315550</v>
      </c>
      <c r="D62" s="109"/>
      <c r="G62" s="109">
        <f>C62+D62</f>
        <v>315550</v>
      </c>
    </row>
    <row r="64" spans="1:7" x14ac:dyDescent="0.3">
      <c r="A64" s="28" t="s">
        <v>75</v>
      </c>
      <c r="B64" s="28" t="s">
        <v>76</v>
      </c>
      <c r="C64" s="112">
        <f>C65/C68</f>
        <v>6.6780044121089607E-2</v>
      </c>
      <c r="G64" s="112">
        <f>G65/G68</f>
        <v>5.9258290884812381E-2</v>
      </c>
    </row>
    <row r="65" spans="1:7" x14ac:dyDescent="0.3">
      <c r="B65" s="1" t="s">
        <v>58</v>
      </c>
      <c r="C65" s="109">
        <f>C42</f>
        <v>43076</v>
      </c>
      <c r="D65" s="109">
        <f>D61</f>
        <v>-5000</v>
      </c>
      <c r="E65" s="1" t="str">
        <f>E61</f>
        <v>decrease</v>
      </c>
      <c r="G65" s="109">
        <f>C65+D65</f>
        <v>38076</v>
      </c>
    </row>
    <row r="66" spans="1:7" x14ac:dyDescent="0.3">
      <c r="B66" s="1" t="s">
        <v>77</v>
      </c>
      <c r="C66" s="109">
        <f>C43</f>
        <v>473830</v>
      </c>
      <c r="G66" s="109">
        <f>C66+D66</f>
        <v>473830</v>
      </c>
    </row>
    <row r="67" spans="1:7" x14ac:dyDescent="0.3">
      <c r="B67" s="1" t="s">
        <v>78</v>
      </c>
      <c r="C67" s="109">
        <f>C44</f>
        <v>816256</v>
      </c>
      <c r="D67" s="109">
        <f>-D56</f>
        <v>-5000</v>
      </c>
      <c r="E67" s="1" t="s">
        <v>88</v>
      </c>
      <c r="G67" s="109">
        <f>C67+D67</f>
        <v>811256</v>
      </c>
    </row>
    <row r="68" spans="1:7" x14ac:dyDescent="0.3">
      <c r="B68" s="1" t="s">
        <v>79</v>
      </c>
      <c r="C68" s="109">
        <f>C45</f>
        <v>645043</v>
      </c>
      <c r="G68" s="109">
        <f>SUM(G66:G67)/2</f>
        <v>642543</v>
      </c>
    </row>
    <row r="70" spans="1:7" x14ac:dyDescent="0.3">
      <c r="A70" s="28" t="s">
        <v>80</v>
      </c>
      <c r="B70" s="28" t="s">
        <v>30</v>
      </c>
      <c r="C70" s="112">
        <f>C71/C72</f>
        <v>0.14450123490669595</v>
      </c>
      <c r="G70" s="112">
        <f>G71/G72</f>
        <v>0.14539183685544391</v>
      </c>
    </row>
    <row r="71" spans="1:7" x14ac:dyDescent="0.3">
      <c r="B71" s="1" t="s">
        <v>11</v>
      </c>
      <c r="C71" s="109">
        <f>C48</f>
        <v>117950</v>
      </c>
      <c r="G71" s="109">
        <f>C71</f>
        <v>117950</v>
      </c>
    </row>
    <row r="72" spans="1:7" x14ac:dyDescent="0.3">
      <c r="B72" s="1" t="s">
        <v>9</v>
      </c>
      <c r="C72" s="109">
        <f>C49</f>
        <v>816256</v>
      </c>
      <c r="D72" s="109">
        <f>D67</f>
        <v>-5000</v>
      </c>
      <c r="E72" s="1" t="str">
        <f>E67</f>
        <v>inventory decrease</v>
      </c>
      <c r="G72" s="109">
        <f>C72+D72</f>
        <v>811256</v>
      </c>
    </row>
    <row r="74" spans="1:7" ht="67.8" customHeight="1" x14ac:dyDescent="0.3">
      <c r="A74" s="200" t="s">
        <v>139</v>
      </c>
      <c r="B74" s="200"/>
      <c r="C74" s="200"/>
      <c r="D74" s="200"/>
      <c r="E74" s="200"/>
      <c r="F74" s="200"/>
      <c r="G74" s="200"/>
    </row>
    <row r="75" spans="1:7" x14ac:dyDescent="0.3">
      <c r="A75" s="58"/>
      <c r="B75" s="58"/>
      <c r="E75" s="58"/>
      <c r="F75" s="58"/>
      <c r="G75" s="58"/>
    </row>
    <row r="76" spans="1:7" s="134" customFormat="1" ht="61.2" customHeight="1" x14ac:dyDescent="0.3">
      <c r="A76" s="204" t="s">
        <v>22</v>
      </c>
      <c r="B76" s="203" t="s">
        <v>158</v>
      </c>
      <c r="C76" s="203"/>
      <c r="D76" s="203"/>
      <c r="E76" s="203"/>
      <c r="F76" s="203"/>
      <c r="G76" s="203"/>
    </row>
    <row r="77" spans="1:7" x14ac:dyDescent="0.3">
      <c r="A77" s="108"/>
      <c r="B77" s="121"/>
      <c r="C77" s="121"/>
      <c r="D77" s="121"/>
      <c r="E77" s="121"/>
      <c r="F77" s="121"/>
      <c r="G77" s="121"/>
    </row>
    <row r="78" spans="1:7" x14ac:dyDescent="0.3">
      <c r="A78" s="107" t="s">
        <v>83</v>
      </c>
      <c r="B78" s="58"/>
    </row>
    <row r="79" spans="1:7" x14ac:dyDescent="0.3">
      <c r="A79" s="1" t="str">
        <f>'Tutorial 4 Sol'!A25</f>
        <v>Marketing Expense</v>
      </c>
      <c r="C79" s="109">
        <f>D81/6*5</f>
        <v>1300</v>
      </c>
      <c r="D79" s="109"/>
    </row>
    <row r="80" spans="1:7" x14ac:dyDescent="0.3">
      <c r="A80" s="1" t="s">
        <v>136</v>
      </c>
      <c r="C80" s="109">
        <f>D81-C79</f>
        <v>260</v>
      </c>
      <c r="D80" s="109"/>
    </row>
    <row r="81" spans="1:7" x14ac:dyDescent="0.3">
      <c r="B81" s="1" t="s">
        <v>7</v>
      </c>
      <c r="C81" s="109"/>
      <c r="D81" s="109">
        <v>1560</v>
      </c>
    </row>
    <row r="82" spans="1:7" x14ac:dyDescent="0.3">
      <c r="C82" s="109"/>
      <c r="D82" s="109"/>
    </row>
    <row r="83" spans="1:7" x14ac:dyDescent="0.3">
      <c r="A83" s="107" t="s">
        <v>84</v>
      </c>
      <c r="C83" s="109"/>
      <c r="D83" s="109"/>
    </row>
    <row r="84" spans="1:7" ht="28.8" x14ac:dyDescent="0.3">
      <c r="C84" s="106" t="str">
        <f>C59</f>
        <v>From Tutorial 4 Part (5)</v>
      </c>
      <c r="D84" s="199" t="s">
        <v>85</v>
      </c>
      <c r="E84" s="199"/>
      <c r="F84" s="199"/>
      <c r="G84" s="105" t="s">
        <v>86</v>
      </c>
    </row>
    <row r="85" spans="1:7" x14ac:dyDescent="0.3">
      <c r="A85" s="28" t="s">
        <v>72</v>
      </c>
      <c r="B85" s="28" t="s">
        <v>73</v>
      </c>
      <c r="C85" s="112">
        <f>C86/C87</f>
        <v>0.13651085406433211</v>
      </c>
      <c r="G85" s="112">
        <f>G86/G87</f>
        <v>0.13239106322294406</v>
      </c>
    </row>
    <row r="86" spans="1:7" x14ac:dyDescent="0.3">
      <c r="B86" s="1" t="s">
        <v>58</v>
      </c>
      <c r="C86" s="109">
        <f>C61</f>
        <v>43076</v>
      </c>
      <c r="D86" s="109">
        <f>-C79</f>
        <v>-1300</v>
      </c>
      <c r="E86" s="1" t="s">
        <v>87</v>
      </c>
      <c r="G86" s="109">
        <f>C86+D86</f>
        <v>41776</v>
      </c>
    </row>
    <row r="87" spans="1:7" x14ac:dyDescent="0.3">
      <c r="B87" s="1" t="s">
        <v>74</v>
      </c>
      <c r="C87" s="109">
        <f>C62</f>
        <v>315550</v>
      </c>
      <c r="D87" s="109"/>
      <c r="G87" s="109">
        <f>C87+D87</f>
        <v>315550</v>
      </c>
    </row>
    <row r="89" spans="1:7" x14ac:dyDescent="0.3">
      <c r="A89" s="28" t="s">
        <v>75</v>
      </c>
      <c r="B89" s="28" t="s">
        <v>76</v>
      </c>
      <c r="C89" s="112">
        <f>C90/C93</f>
        <v>6.6780044121089607E-2</v>
      </c>
      <c r="G89" s="112">
        <f>G90/G93</f>
        <v>6.4751624758010648E-2</v>
      </c>
    </row>
    <row r="90" spans="1:7" x14ac:dyDescent="0.3">
      <c r="B90" s="1" t="s">
        <v>58</v>
      </c>
      <c r="C90" s="109">
        <f>C65</f>
        <v>43076</v>
      </c>
      <c r="D90" s="109">
        <f>D86</f>
        <v>-1300</v>
      </c>
      <c r="E90" s="1" t="str">
        <f>E86</f>
        <v>decrease</v>
      </c>
      <c r="G90" s="109">
        <f>C90+D90</f>
        <v>41776</v>
      </c>
    </row>
    <row r="91" spans="1:7" x14ac:dyDescent="0.3">
      <c r="B91" s="1" t="s">
        <v>77</v>
      </c>
      <c r="C91" s="109">
        <f>C66</f>
        <v>473830</v>
      </c>
      <c r="D91" s="109"/>
      <c r="G91" s="109">
        <f>C91+D91</f>
        <v>473830</v>
      </c>
    </row>
    <row r="92" spans="1:7" x14ac:dyDescent="0.3">
      <c r="B92" s="1" t="s">
        <v>78</v>
      </c>
      <c r="C92" s="109">
        <f>C67</f>
        <v>816256</v>
      </c>
      <c r="D92" s="109">
        <f>C80</f>
        <v>260</v>
      </c>
      <c r="E92" s="1" t="s">
        <v>100</v>
      </c>
      <c r="G92" s="109">
        <f>C92+D92</f>
        <v>816516</v>
      </c>
    </row>
    <row r="93" spans="1:7" x14ac:dyDescent="0.3">
      <c r="B93" s="1" t="s">
        <v>79</v>
      </c>
      <c r="C93" s="109">
        <f>C68</f>
        <v>645043</v>
      </c>
      <c r="G93" s="109">
        <f>SUM(G91:G92)/2</f>
        <v>645173</v>
      </c>
    </row>
    <row r="95" spans="1:7" x14ac:dyDescent="0.3">
      <c r="A95" s="28" t="s">
        <v>80</v>
      </c>
      <c r="B95" s="28" t="s">
        <v>30</v>
      </c>
      <c r="C95" s="112">
        <f>C96/C97</f>
        <v>0.14450123490669595</v>
      </c>
      <c r="G95" s="112">
        <f>G96/G97</f>
        <v>0.14641240003136272</v>
      </c>
    </row>
    <row r="96" spans="1:7" x14ac:dyDescent="0.3">
      <c r="B96" s="1" t="s">
        <v>11</v>
      </c>
      <c r="C96" s="109">
        <f>C71</f>
        <v>117950</v>
      </c>
      <c r="D96" s="109">
        <f>D81</f>
        <v>1560</v>
      </c>
      <c r="E96" s="1" t="s">
        <v>100</v>
      </c>
      <c r="G96" s="109">
        <f>C96+D96</f>
        <v>119510</v>
      </c>
    </row>
    <row r="97" spans="1:12" x14ac:dyDescent="0.3">
      <c r="B97" s="1" t="s">
        <v>9</v>
      </c>
      <c r="C97" s="109">
        <f>C72</f>
        <v>816256</v>
      </c>
      <c r="D97" s="109"/>
      <c r="G97" s="109">
        <f>C97+D97</f>
        <v>816256</v>
      </c>
      <c r="J97" s="113"/>
    </row>
    <row r="98" spans="1:12" x14ac:dyDescent="0.3">
      <c r="K98" s="113"/>
    </row>
    <row r="99" spans="1:12" ht="61.2" customHeight="1" x14ac:dyDescent="0.3">
      <c r="A99" s="200" t="s">
        <v>157</v>
      </c>
      <c r="B99" s="200"/>
      <c r="C99" s="200"/>
      <c r="D99" s="200"/>
      <c r="E99" s="200"/>
      <c r="F99" s="200"/>
      <c r="G99" s="200"/>
    </row>
    <row r="101" spans="1:12" s="134" customFormat="1" ht="68.400000000000006" customHeight="1" x14ac:dyDescent="0.3">
      <c r="A101" s="204" t="s">
        <v>23</v>
      </c>
      <c r="B101" s="203" t="s">
        <v>140</v>
      </c>
      <c r="C101" s="203"/>
      <c r="D101" s="203"/>
      <c r="E101" s="203"/>
      <c r="F101" s="203"/>
      <c r="G101" s="203"/>
    </row>
    <row r="102" spans="1:12" x14ac:dyDescent="0.3">
      <c r="A102" s="107" t="s">
        <v>83</v>
      </c>
      <c r="B102" s="58"/>
      <c r="L102" s="153"/>
    </row>
    <row r="103" spans="1:12" x14ac:dyDescent="0.3">
      <c r="A103" s="1" t="s">
        <v>159</v>
      </c>
      <c r="C103" s="109">
        <v>100000</v>
      </c>
      <c r="D103" s="109"/>
    </row>
    <row r="104" spans="1:12" x14ac:dyDescent="0.3">
      <c r="B104" s="1" t="str">
        <f>'Tutorial 2 Sol'!N21</f>
        <v>Property Plant and Equipment (PPE)</v>
      </c>
      <c r="C104" s="109"/>
      <c r="D104" s="109">
        <f>C103</f>
        <v>100000</v>
      </c>
    </row>
    <row r="105" spans="1:12" x14ac:dyDescent="0.3">
      <c r="A105" s="205" t="s">
        <v>160</v>
      </c>
      <c r="C105" s="109"/>
      <c r="D105" s="109"/>
    </row>
    <row r="106" spans="1:12" x14ac:dyDescent="0.3">
      <c r="C106" s="109"/>
      <c r="D106" s="109"/>
    </row>
    <row r="107" spans="1:12" x14ac:dyDescent="0.3">
      <c r="A107" s="107" t="s">
        <v>84</v>
      </c>
      <c r="C107" s="109"/>
      <c r="D107" s="109"/>
    </row>
    <row r="108" spans="1:12" ht="28.8" x14ac:dyDescent="0.3">
      <c r="C108" s="106" t="s">
        <v>102</v>
      </c>
      <c r="D108" s="199" t="s">
        <v>85</v>
      </c>
      <c r="E108" s="199"/>
      <c r="F108" s="199"/>
      <c r="G108" s="105" t="s">
        <v>86</v>
      </c>
    </row>
    <row r="109" spans="1:12" x14ac:dyDescent="0.3">
      <c r="A109" s="28" t="s">
        <v>72</v>
      </c>
      <c r="B109" s="28" t="s">
        <v>73</v>
      </c>
      <c r="C109" s="112">
        <f>C110/C111</f>
        <v>0.13651085406433211</v>
      </c>
      <c r="G109" s="112">
        <f>G110/G111</f>
        <v>0.13651085406433211</v>
      </c>
    </row>
    <row r="110" spans="1:12" x14ac:dyDescent="0.3">
      <c r="B110" s="1" t="s">
        <v>58</v>
      </c>
      <c r="C110" s="109">
        <f>C86</f>
        <v>43076</v>
      </c>
      <c r="D110" s="109"/>
      <c r="G110" s="109">
        <f>C110+D110+D111</f>
        <v>43076</v>
      </c>
    </row>
    <row r="111" spans="1:12" x14ac:dyDescent="0.3">
      <c r="B111" s="1" t="s">
        <v>74</v>
      </c>
      <c r="C111" s="109">
        <f>C87</f>
        <v>315550</v>
      </c>
      <c r="D111" s="109"/>
      <c r="G111" s="109">
        <f>C111+D111+D112</f>
        <v>315550</v>
      </c>
    </row>
    <row r="112" spans="1:12" x14ac:dyDescent="0.3">
      <c r="C112" s="109"/>
      <c r="D112" s="109"/>
      <c r="G112" s="109"/>
    </row>
    <row r="114" spans="1:12" x14ac:dyDescent="0.3">
      <c r="A114" s="28" t="s">
        <v>75</v>
      </c>
      <c r="B114" s="28" t="s">
        <v>76</v>
      </c>
      <c r="C114" s="112">
        <f>C115/C119</f>
        <v>6.6780044121089607E-2</v>
      </c>
      <c r="G114" s="112">
        <f>G115/G119</f>
        <v>6.6780044121089607E-2</v>
      </c>
    </row>
    <row r="115" spans="1:12" x14ac:dyDescent="0.3">
      <c r="B115" s="1" t="s">
        <v>58</v>
      </c>
      <c r="C115" s="109">
        <f>C90</f>
        <v>43076</v>
      </c>
      <c r="D115" s="109"/>
      <c r="G115" s="109">
        <f>C115+D115</f>
        <v>43076</v>
      </c>
    </row>
    <row r="116" spans="1:12" x14ac:dyDescent="0.3">
      <c r="B116" s="1" t="s">
        <v>77</v>
      </c>
      <c r="C116" s="109">
        <f>C91</f>
        <v>473830</v>
      </c>
      <c r="G116" s="109">
        <f>C116+D116</f>
        <v>473830</v>
      </c>
    </row>
    <row r="117" spans="1:12" x14ac:dyDescent="0.3">
      <c r="B117" s="1" t="s">
        <v>78</v>
      </c>
      <c r="C117" s="109">
        <f>C92</f>
        <v>816256</v>
      </c>
      <c r="D117" s="109">
        <f>-D104</f>
        <v>-100000</v>
      </c>
      <c r="E117" s="1" t="s">
        <v>141</v>
      </c>
      <c r="G117" s="109">
        <f>C117+D117+D118</f>
        <v>816256</v>
      </c>
    </row>
    <row r="118" spans="1:12" x14ac:dyDescent="0.3">
      <c r="C118" s="109"/>
      <c r="D118" s="109">
        <f>C103</f>
        <v>100000</v>
      </c>
      <c r="E118" s="1" t="s">
        <v>142</v>
      </c>
      <c r="G118" s="109"/>
    </row>
    <row r="119" spans="1:12" x14ac:dyDescent="0.3">
      <c r="B119" s="1" t="s">
        <v>79</v>
      </c>
      <c r="C119" s="109">
        <f>C93</f>
        <v>645043</v>
      </c>
      <c r="G119" s="109">
        <f>SUM(G116:G117)/2</f>
        <v>645043</v>
      </c>
    </row>
    <row r="121" spans="1:12" x14ac:dyDescent="0.3">
      <c r="A121" s="28" t="s">
        <v>80</v>
      </c>
      <c r="B121" s="28" t="s">
        <v>30</v>
      </c>
      <c r="C121" s="112">
        <f>C122/C123</f>
        <v>0.14450123490669595</v>
      </c>
      <c r="G121" s="112">
        <f>G122/G123</f>
        <v>0.14450123490669595</v>
      </c>
    </row>
    <row r="122" spans="1:12" x14ac:dyDescent="0.3">
      <c r="B122" s="1" t="s">
        <v>11</v>
      </c>
      <c r="C122" s="109">
        <f>C96</f>
        <v>117950</v>
      </c>
      <c r="D122" s="109"/>
      <c r="G122" s="109">
        <f>C122+D122</f>
        <v>117950</v>
      </c>
    </row>
    <row r="123" spans="1:12" x14ac:dyDescent="0.3">
      <c r="B123" s="1" t="s">
        <v>9</v>
      </c>
      <c r="C123" s="109">
        <f>C97</f>
        <v>816256</v>
      </c>
      <c r="D123" s="109">
        <v>0</v>
      </c>
      <c r="E123" s="1" t="s">
        <v>143</v>
      </c>
      <c r="G123" s="109">
        <f>C123+D123</f>
        <v>816256</v>
      </c>
      <c r="J123" s="113"/>
    </row>
    <row r="124" spans="1:12" x14ac:dyDescent="0.3">
      <c r="K124" s="113"/>
    </row>
    <row r="125" spans="1:12" ht="82.2" customHeight="1" x14ac:dyDescent="0.3">
      <c r="A125" s="200" t="s">
        <v>144</v>
      </c>
      <c r="B125" s="200"/>
      <c r="C125" s="200"/>
      <c r="D125" s="200"/>
      <c r="E125" s="200"/>
      <c r="F125" s="200"/>
      <c r="G125" s="200"/>
    </row>
    <row r="127" spans="1:12" s="134" customFormat="1" ht="32.4" customHeight="1" x14ac:dyDescent="0.3">
      <c r="A127" s="204" t="s">
        <v>33</v>
      </c>
      <c r="B127" s="203" t="s">
        <v>145</v>
      </c>
      <c r="C127" s="203"/>
      <c r="D127" s="203"/>
      <c r="E127" s="203"/>
      <c r="F127" s="203"/>
      <c r="G127" s="203"/>
    </row>
    <row r="128" spans="1:12" x14ac:dyDescent="0.3">
      <c r="A128" s="107" t="s">
        <v>83</v>
      </c>
      <c r="B128" s="58"/>
      <c r="L128" s="153"/>
    </row>
    <row r="129" spans="1:7" x14ac:dyDescent="0.3">
      <c r="A129" s="1" t="s">
        <v>1</v>
      </c>
      <c r="C129" s="109">
        <v>50000</v>
      </c>
      <c r="D129" s="109"/>
    </row>
    <row r="130" spans="1:7" x14ac:dyDescent="0.3">
      <c r="B130" s="1" t="s">
        <v>89</v>
      </c>
      <c r="C130" s="109"/>
      <c r="D130" s="109">
        <f>C129</f>
        <v>50000</v>
      </c>
    </row>
    <row r="131" spans="1:7" x14ac:dyDescent="0.3">
      <c r="C131" s="109"/>
      <c r="D131" s="109"/>
    </row>
    <row r="132" spans="1:7" x14ac:dyDescent="0.3">
      <c r="A132" s="107" t="s">
        <v>84</v>
      </c>
      <c r="C132" s="109"/>
      <c r="D132" s="109"/>
    </row>
    <row r="133" spans="1:7" ht="28.8" x14ac:dyDescent="0.3">
      <c r="C133" s="106" t="s">
        <v>102</v>
      </c>
      <c r="D133" s="199" t="s">
        <v>85</v>
      </c>
      <c r="E133" s="199"/>
      <c r="F133" s="199"/>
      <c r="G133" s="105" t="s">
        <v>86</v>
      </c>
    </row>
    <row r="134" spans="1:7" x14ac:dyDescent="0.3">
      <c r="A134" s="28" t="s">
        <v>72</v>
      </c>
      <c r="B134" s="28" t="s">
        <v>73</v>
      </c>
      <c r="C134" s="112">
        <f>C135/C136</f>
        <v>0.13651085406433211</v>
      </c>
      <c r="G134" s="112">
        <f>G135/G136</f>
        <v>0.13651085406433211</v>
      </c>
    </row>
    <row r="135" spans="1:7" x14ac:dyDescent="0.3">
      <c r="B135" s="1" t="s">
        <v>58</v>
      </c>
      <c r="C135" s="109">
        <f>C110</f>
        <v>43076</v>
      </c>
      <c r="D135" s="109"/>
      <c r="G135" s="109">
        <f>C135+D135+D136</f>
        <v>43076</v>
      </c>
    </row>
    <row r="136" spans="1:7" x14ac:dyDescent="0.3">
      <c r="B136" s="1" t="s">
        <v>74</v>
      </c>
      <c r="C136" s="109">
        <f>C111</f>
        <v>315550</v>
      </c>
      <c r="D136" s="109"/>
      <c r="G136" s="109">
        <f>C136+D136+D137</f>
        <v>315550</v>
      </c>
    </row>
    <row r="137" spans="1:7" x14ac:dyDescent="0.3">
      <c r="C137" s="109"/>
      <c r="D137" s="109"/>
      <c r="G137" s="109"/>
    </row>
    <row r="139" spans="1:7" x14ac:dyDescent="0.3">
      <c r="A139" s="28" t="s">
        <v>75</v>
      </c>
      <c r="B139" s="28" t="s">
        <v>76</v>
      </c>
      <c r="C139" s="112">
        <f>C140/C143</f>
        <v>6.6780044121089607E-2</v>
      </c>
      <c r="G139" s="112">
        <f>G140/G143</f>
        <v>5.2772659557785789E-2</v>
      </c>
    </row>
    <row r="140" spans="1:7" x14ac:dyDescent="0.3">
      <c r="B140" s="1" t="s">
        <v>58</v>
      </c>
      <c r="C140" s="109">
        <f>C115</f>
        <v>43076</v>
      </c>
      <c r="D140" s="109"/>
      <c r="G140" s="109">
        <f>C140+D140</f>
        <v>43076</v>
      </c>
    </row>
    <row r="141" spans="1:7" x14ac:dyDescent="0.3">
      <c r="B141" s="1" t="s">
        <v>77</v>
      </c>
      <c r="C141" s="109">
        <f>C117</f>
        <v>816256</v>
      </c>
      <c r="G141" s="109">
        <f>C141+D141</f>
        <v>816256</v>
      </c>
    </row>
    <row r="142" spans="1:7" x14ac:dyDescent="0.3">
      <c r="B142" s="1" t="s">
        <v>78</v>
      </c>
      <c r="C142" s="109">
        <f>C117</f>
        <v>816256</v>
      </c>
      <c r="D142" s="109"/>
      <c r="G142" s="109">
        <f>C142+D142</f>
        <v>816256</v>
      </c>
    </row>
    <row r="143" spans="1:7" x14ac:dyDescent="0.3">
      <c r="B143" s="1" t="s">
        <v>79</v>
      </c>
      <c r="C143" s="109">
        <f>C119</f>
        <v>645043</v>
      </c>
      <c r="G143" s="109">
        <f>SUM(G141:G142)/2</f>
        <v>816256</v>
      </c>
    </row>
    <row r="145" spans="1:11" x14ac:dyDescent="0.3">
      <c r="A145" s="28" t="s">
        <v>80</v>
      </c>
      <c r="B145" s="28" t="s">
        <v>30</v>
      </c>
      <c r="C145" s="112">
        <f>C146/C147</f>
        <v>0.14450123490669595</v>
      </c>
      <c r="G145" s="112">
        <f>G146/G147</f>
        <v>0.20575652736396424</v>
      </c>
    </row>
    <row r="146" spans="1:11" x14ac:dyDescent="0.3">
      <c r="B146" s="1" t="s">
        <v>11</v>
      </c>
      <c r="C146" s="109">
        <f>C122</f>
        <v>117950</v>
      </c>
      <c r="D146" s="109">
        <f>D130</f>
        <v>50000</v>
      </c>
      <c r="E146" s="1" t="s">
        <v>100</v>
      </c>
      <c r="G146" s="109">
        <f>C146+D146</f>
        <v>167950</v>
      </c>
    </row>
    <row r="147" spans="1:11" x14ac:dyDescent="0.3">
      <c r="B147" s="1" t="s">
        <v>9</v>
      </c>
      <c r="C147" s="109">
        <f>C123</f>
        <v>816256</v>
      </c>
      <c r="D147" s="109"/>
      <c r="G147" s="109">
        <f>C147+D147</f>
        <v>816256</v>
      </c>
      <c r="J147" s="113"/>
    </row>
    <row r="148" spans="1:11" x14ac:dyDescent="0.3">
      <c r="K148" s="113"/>
    </row>
    <row r="149" spans="1:11" ht="82.8" customHeight="1" x14ac:dyDescent="0.3">
      <c r="A149" s="200" t="s">
        <v>146</v>
      </c>
      <c r="B149" s="200"/>
      <c r="C149" s="200"/>
      <c r="D149" s="200"/>
      <c r="E149" s="200"/>
      <c r="F149" s="200"/>
      <c r="G149" s="200"/>
    </row>
  </sheetData>
  <mergeCells count="18">
    <mergeCell ref="B127:G127"/>
    <mergeCell ref="D133:F133"/>
    <mergeCell ref="A149:G149"/>
    <mergeCell ref="B76:G76"/>
    <mergeCell ref="D84:F84"/>
    <mergeCell ref="A99:G99"/>
    <mergeCell ref="B101:G101"/>
    <mergeCell ref="D108:F108"/>
    <mergeCell ref="A125:G125"/>
    <mergeCell ref="B3:G3"/>
    <mergeCell ref="D13:F13"/>
    <mergeCell ref="A28:G28"/>
    <mergeCell ref="A74:G74"/>
    <mergeCell ref="B30:G30"/>
    <mergeCell ref="D36:F36"/>
    <mergeCell ref="A51:G51"/>
    <mergeCell ref="B53:G53"/>
    <mergeCell ref="D59:F59"/>
  </mergeCells>
  <pageMargins left="0.7" right="0.7" top="0.75" bottom="0.75" header="0.3" footer="0.3"/>
  <pageSetup orientation="portrait" horizontalDpi="4294967295" verticalDpi="4294967295" r:id="rId1"/>
  <rowBreaks count="5" manualBreakCount="5">
    <brk id="29" max="16383" man="1"/>
    <brk id="52" max="16383" man="1"/>
    <brk id="75" max="16383" man="1"/>
    <brk id="100" max="16383" man="1"/>
    <brk id="12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tabSelected="1" workbookViewId="0">
      <selection activeCell="D17" sqref="D17"/>
    </sheetView>
  </sheetViews>
  <sheetFormatPr defaultRowHeight="14.4" x14ac:dyDescent="0.3"/>
  <cols>
    <col min="1" max="1" width="42.109375" customWidth="1"/>
    <col min="2" max="2" width="12.44140625" customWidth="1"/>
    <col min="3" max="3" width="15.44140625" customWidth="1"/>
    <col min="4" max="4" width="9.21875" bestFit="1" customWidth="1"/>
  </cols>
  <sheetData>
    <row r="1" spans="1:4" ht="15.6" customHeight="1" x14ac:dyDescent="0.3">
      <c r="A1" s="201" t="s">
        <v>109</v>
      </c>
      <c r="B1" s="201"/>
      <c r="C1" s="201"/>
    </row>
    <row r="2" spans="1:4" ht="15.6" customHeight="1" x14ac:dyDescent="0.3">
      <c r="A2" s="22" t="s">
        <v>113</v>
      </c>
      <c r="B2" s="9" t="s">
        <v>13</v>
      </c>
      <c r="C2" s="21" t="s">
        <v>14</v>
      </c>
    </row>
    <row r="3" spans="1:4" ht="15.6" customHeight="1" x14ac:dyDescent="0.3">
      <c r="A3" s="4" t="str">
        <f>'TB @ 30 Sept 2025'!A3</f>
        <v>Cash</v>
      </c>
      <c r="B3" s="24">
        <v>350130</v>
      </c>
      <c r="C3" s="25"/>
    </row>
    <row r="4" spans="1:4" ht="15.6" customHeight="1" x14ac:dyDescent="0.3">
      <c r="A4" s="4" t="str">
        <f>'TB @ 30 Sept 2025'!A4</f>
        <v>Accounts Receivable</v>
      </c>
      <c r="B4" s="24">
        <v>21700</v>
      </c>
      <c r="C4" s="25"/>
      <c r="D4" s="116"/>
    </row>
    <row r="5" spans="1:4" ht="15.6" customHeight="1" x14ac:dyDescent="0.3">
      <c r="A5" s="4" t="str">
        <f>'TB @ 30 Sept 2025'!A6</f>
        <v>Inventory</v>
      </c>
      <c r="B5" s="24">
        <v>102000</v>
      </c>
      <c r="C5" s="25"/>
    </row>
    <row r="6" spans="1:4" ht="15.6" customHeight="1" x14ac:dyDescent="0.3">
      <c r="A6" s="4" t="str">
        <f>'TB @ 30 Sept 2025'!A7</f>
        <v>Accounts Payable</v>
      </c>
      <c r="B6" s="24"/>
      <c r="C6" s="25">
        <v>18600</v>
      </c>
    </row>
    <row r="7" spans="1:4" ht="15.6" customHeight="1" x14ac:dyDescent="0.3">
      <c r="A7" s="4" t="str">
        <f>'TB @ 30 Sept 2025'!A9</f>
        <v>Long-term Debt</v>
      </c>
      <c r="B7" s="24"/>
      <c r="C7" s="25">
        <f>'TB @ 30 Sept 2025'!C9</f>
        <v>50000</v>
      </c>
    </row>
    <row r="8" spans="1:4" ht="15.6" customHeight="1" x14ac:dyDescent="0.3">
      <c r="A8" s="4" t="str">
        <f>'TB @ 30 Sept 2025'!A10</f>
        <v>Share Capital - Ordinary Shares</v>
      </c>
      <c r="B8" s="24"/>
      <c r="C8" s="25">
        <f>'TB @ 30 Sept 2025'!C10</f>
        <v>200000</v>
      </c>
    </row>
    <row r="9" spans="1:4" ht="15.6" customHeight="1" x14ac:dyDescent="0.3">
      <c r="A9" s="4" t="str">
        <f>'TB @ 30 Sept 2025'!A11</f>
        <v>Share Capital - Preference Shares (cumulative)</v>
      </c>
      <c r="B9" s="24"/>
      <c r="C9" s="25">
        <f>'TB @ 30 Sept 2025'!C11</f>
        <v>200000</v>
      </c>
    </row>
    <row r="10" spans="1:4" ht="15.6" customHeight="1" x14ac:dyDescent="0.3">
      <c r="A10" s="4" t="str">
        <f>'TB @ 30 Sept 2025'!A12</f>
        <v>Retained Earnings  (@ 31 Dec 2024)</v>
      </c>
      <c r="B10" s="24"/>
      <c r="C10" s="25">
        <f>'TB @ 30 Sept 2025'!C12</f>
        <v>5230</v>
      </c>
    </row>
    <row r="11" spans="1:4" ht="15.6" customHeight="1" x14ac:dyDescent="0.3">
      <c r="A11" s="23"/>
      <c r="B11" s="27">
        <f>SUM(B3:B10)</f>
        <v>473830</v>
      </c>
      <c r="C11" s="27">
        <f>SUM(C3:C10)</f>
        <v>473830</v>
      </c>
      <c r="D11" s="116"/>
    </row>
    <row r="12" spans="1:4" ht="15.6" customHeight="1" x14ac:dyDescent="0.3">
      <c r="B12" s="3"/>
      <c r="C12" s="3"/>
    </row>
    <row r="13" spans="1:4" x14ac:dyDescent="0.3">
      <c r="A13" t="s">
        <v>9</v>
      </c>
      <c r="B13" s="116">
        <f>SUM(B3:B5)</f>
        <v>473830</v>
      </c>
    </row>
    <row r="14" spans="1:4" x14ac:dyDescent="0.3">
      <c r="A14" t="s">
        <v>11</v>
      </c>
      <c r="C14" s="116">
        <f>SUM(C6:C7)</f>
        <v>68600</v>
      </c>
    </row>
    <row r="15" spans="1:4" x14ac:dyDescent="0.3">
      <c r="A15" t="s">
        <v>70</v>
      </c>
      <c r="C15" s="116">
        <f>SUM(C8:C10)</f>
        <v>405230</v>
      </c>
      <c r="D15" s="116"/>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0B9661-662C-4790-842A-C8BFD41F756E}">
  <ds:schemaRefs>
    <ds:schemaRef ds:uri="http://purl.org/dc/terms/"/>
    <ds:schemaRef ds:uri="http://purl.org/dc/dcmitype/"/>
    <ds:schemaRef ds:uri="http://purl.org/dc/elements/1.1/"/>
    <ds:schemaRef ds:uri="http://schemas.openxmlformats.org/package/2006/metadata/core-properties"/>
    <ds:schemaRef ds:uri="http://www.w3.org/XML/1998/namespace"/>
    <ds:schemaRef ds:uri="a53cfe13-88a2-4d8a-921a-26acc93ffab7"/>
    <ds:schemaRef ds:uri="http://schemas.microsoft.com/office/2006/documentManagement/types"/>
    <ds:schemaRef ds:uri="http://schemas.microsoft.com/office/infopath/2007/PartnerControls"/>
    <ds:schemaRef ds:uri="e3370fb0-917d-486d-8ec5-33c5248dbdec"/>
    <ds:schemaRef ds:uri="http://schemas.microsoft.com/office/2006/metadata/properties"/>
  </ds:schemaRefs>
</ds:datastoreItem>
</file>

<file path=customXml/itemProps3.xml><?xml version="1.0" encoding="utf-8"?>
<ds:datastoreItem xmlns:ds="http://schemas.openxmlformats.org/officeDocument/2006/customXml" ds:itemID="{52A133E6-4AD2-4E55-8C16-45E21EFF23A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TB @ 30 Sept 2025</vt:lpstr>
      <vt:lpstr>Tutorial 2 Sol</vt:lpstr>
      <vt:lpstr>Tutorial 3 Sol</vt:lpstr>
      <vt:lpstr>Tutorial 4 Sol</vt:lpstr>
      <vt:lpstr>Tutorial 5 Sol</vt:lpstr>
      <vt:lpstr>TB @ 31 Dec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cp:lastPrinted>2025-09-15T05:51:22Z</cp:lastPrinted>
  <dcterms:created xsi:type="dcterms:W3CDTF">2022-06-06T03:14:46Z</dcterms:created>
  <dcterms:modified xsi:type="dcterms:W3CDTF">2025-09-16T10:41:17Z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