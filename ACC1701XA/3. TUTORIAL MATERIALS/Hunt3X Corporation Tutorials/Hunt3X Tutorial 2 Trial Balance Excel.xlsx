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hann\OneDrive - National University of Singapore\TEACHING\AY2526 S1 ACC1701XA\Tutorial\"/>
    </mc:Choice>
  </mc:AlternateContent>
  <xr:revisionPtr revIDLastSave="6" documentId="8_{9C96F20E-48AC-467C-8D0A-7789859317FD}" xr6:coauthVersionLast="36" xr6:coauthVersionMax="47" xr10:uidLastSave="{31FCC324-D7F2-450D-8763-7A34B61EDBA8}"/>
  <bookViews>
    <workbookView xWindow="28692" yWindow="0" windowWidth="14616" windowHeight="15588" xr2:uid="{DDBBB553-5ABA-4D41-B304-DD91129E46E7}"/>
  </bookViews>
  <sheets>
    <sheet name="TB @ 30 Sept 2025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4" l="1"/>
  <c r="B18" i="14"/>
  <c r="B17" i="14"/>
  <c r="B15" i="14"/>
  <c r="B14" i="14"/>
  <c r="B5" i="14"/>
  <c r="B19" i="14" l="1"/>
</calcChain>
</file>

<file path=xl/sharedStrings.xml><?xml version="1.0" encoding="utf-8"?>
<sst xmlns="http://schemas.openxmlformats.org/spreadsheetml/2006/main" count="20" uniqueCount="20">
  <si>
    <t>Cash</t>
  </si>
  <si>
    <t>Inventory</t>
  </si>
  <si>
    <t>Cost of Goods Sold</t>
  </si>
  <si>
    <t>Long-term Debt</t>
  </si>
  <si>
    <t>Accounts Payable</t>
  </si>
  <si>
    <t>Debit</t>
  </si>
  <si>
    <t>Credit</t>
  </si>
  <si>
    <t>Rent Expense</t>
  </si>
  <si>
    <t>Salaries Expense</t>
  </si>
  <si>
    <t>Prepaid Rent</t>
  </si>
  <si>
    <t>Marketing Expense</t>
  </si>
  <si>
    <t>General Admin Expense</t>
  </si>
  <si>
    <t>Accounts Receivable</t>
  </si>
  <si>
    <t>Unearned Revenue</t>
  </si>
  <si>
    <t>Sales Revenue</t>
  </si>
  <si>
    <t>Share Capital - Ordinary Shares</t>
  </si>
  <si>
    <t>Share Capital - Preference Shares (cumulative)</t>
  </si>
  <si>
    <t>Hunt3X Corporation</t>
  </si>
  <si>
    <t>Trial Balance as at 30 September 2025</t>
  </si>
  <si>
    <t>Retained Earnings  (@ 31 Dec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</si>
</sst>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/>
    <xf numFmtId="164" fontId="0" fillId="2" borderId="1" xfId="1" applyNumberFormat="1" applyFont="1" applyFill="1" applyBorder="1" applyAlignment="1">
      <alignment horizontal="center" vertical="top"/>
    </xf>
    <xf numFmtId="164" fontId="0" fillId="2" borderId="2" xfId="1" applyNumberFormat="1" applyFont="1" applyFill="1" applyBorder="1" applyAlignment="1">
      <alignment horizontal="center" vertical="top"/>
    </xf>
    <xf numFmtId="164" fontId="1" fillId="2" borderId="3" xfId="1" applyNumberFormat="1" applyFont="1" applyFill="1" applyBorder="1" applyAlignment="1">
      <alignment horizontal="center" vertical="top"/>
    </xf>
    <xf numFmtId="164" fontId="1" fillId="2" borderId="4" xfId="1" applyNumberFormat="1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3">
    <cellStyle name="Comma" xfId="1" builtinId="3"/>
    <cellStyle name="Comma 2" xfId="2" xr:uid="{96DDEF59-7D93-4FD0-9B97-D05CEA88FC0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1C4-76EE-479E-935D-D5FB8D5049D6}">
  <dimension ref="A1:D20"/>
  <sheetViews>
    <sheetView tabSelected="1" workbookViewId="0">
      <selection activeCell="A2" sqref="A2"/>
    </sheetView>
  </sheetViews>
  <sheetFormatPr defaultRowHeight="15.6" customHeight="1" x14ac:dyDescent="0.3"/>
  <cols>
    <col min="1" max="1" width="41" customWidth="1"/>
    <col min="2" max="3" width="12.6640625" style="1" customWidth="1"/>
    <col min="4" max="4" width="9.44140625" bestFit="1" customWidth="1"/>
  </cols>
  <sheetData>
    <row r="1" spans="1:4" ht="15.6" customHeight="1" x14ac:dyDescent="0.3">
      <c r="A1" s="13" t="s">
        <v>17</v>
      </c>
      <c r="B1" s="14"/>
      <c r="C1" s="15"/>
    </row>
    <row r="2" spans="1:4" ht="15.6" customHeight="1" x14ac:dyDescent="0.3">
      <c r="A2" s="5" t="s">
        <v>18</v>
      </c>
      <c r="B2" s="3" t="s">
        <v>5</v>
      </c>
      <c r="C2" s="4" t="s">
        <v>6</v>
      </c>
    </row>
    <row r="3" spans="1:4" ht="15.6" customHeight="1" x14ac:dyDescent="0.3">
      <c r="A3" s="2" t="s">
        <v>0</v>
      </c>
      <c r="B3" s="7">
        <v>387216</v>
      </c>
      <c r="C3" s="8"/>
    </row>
    <row r="4" spans="1:4" ht="15.6" customHeight="1" x14ac:dyDescent="0.3">
      <c r="A4" s="2" t="s">
        <v>12</v>
      </c>
      <c r="B4" s="7">
        <v>37100</v>
      </c>
      <c r="C4" s="8"/>
      <c r="D4" s="12"/>
    </row>
    <row r="5" spans="1:4" ht="15.6" customHeight="1" x14ac:dyDescent="0.3">
      <c r="A5" s="2" t="s">
        <v>9</v>
      </c>
      <c r="B5" s="7">
        <f>2200*9</f>
        <v>19800</v>
      </c>
      <c r="C5" s="8"/>
    </row>
    <row r="6" spans="1:4" ht="15.6" customHeight="1" x14ac:dyDescent="0.3">
      <c r="A6" s="2" t="s">
        <v>1</v>
      </c>
      <c r="B6" s="7">
        <v>84000</v>
      </c>
      <c r="C6" s="8"/>
    </row>
    <row r="7" spans="1:4" ht="15.6" customHeight="1" x14ac:dyDescent="0.3">
      <c r="A7" s="2" t="s">
        <v>4</v>
      </c>
      <c r="B7" s="7"/>
      <c r="C7" s="8">
        <v>23400</v>
      </c>
    </row>
    <row r="8" spans="1:4" ht="15.6" customHeight="1" x14ac:dyDescent="0.3">
      <c r="A8" s="2" t="s">
        <v>13</v>
      </c>
      <c r="B8" s="7"/>
      <c r="C8" s="8">
        <v>14500</v>
      </c>
    </row>
    <row r="9" spans="1:4" ht="15.6" customHeight="1" x14ac:dyDescent="0.3">
      <c r="A9" s="2" t="s">
        <v>3</v>
      </c>
      <c r="B9" s="7"/>
      <c r="C9" s="8">
        <v>50000</v>
      </c>
    </row>
    <row r="10" spans="1:4" ht="15.6" customHeight="1" x14ac:dyDescent="0.3">
      <c r="A10" s="2" t="s">
        <v>15</v>
      </c>
      <c r="B10" s="7"/>
      <c r="C10" s="8">
        <v>200000</v>
      </c>
    </row>
    <row r="11" spans="1:4" ht="15.6" customHeight="1" x14ac:dyDescent="0.3">
      <c r="A11" s="2" t="s">
        <v>16</v>
      </c>
      <c r="B11" s="7"/>
      <c r="C11" s="8">
        <v>200000</v>
      </c>
    </row>
    <row r="12" spans="1:4" ht="15.6" customHeight="1" x14ac:dyDescent="0.3">
      <c r="A12" s="2" t="s">
        <v>19</v>
      </c>
      <c r="B12" s="7"/>
      <c r="C12" s="8">
        <v>5230</v>
      </c>
    </row>
    <row r="13" spans="1:4" ht="15.6" customHeight="1" x14ac:dyDescent="0.3">
      <c r="A13" s="2" t="s">
        <v>14</v>
      </c>
      <c r="B13" s="7"/>
      <c r="C13" s="8">
        <v>212300</v>
      </c>
    </row>
    <row r="14" spans="1:4" ht="15.6" customHeight="1" x14ac:dyDescent="0.3">
      <c r="A14" s="2" t="s">
        <v>2</v>
      </c>
      <c r="B14" s="7">
        <f>C13*0.38</f>
        <v>80674</v>
      </c>
      <c r="C14" s="8"/>
    </row>
    <row r="15" spans="1:4" ht="15.6" customHeight="1" x14ac:dyDescent="0.3">
      <c r="A15" s="2" t="s">
        <v>7</v>
      </c>
      <c r="B15" s="8">
        <f>2200*3</f>
        <v>6600</v>
      </c>
      <c r="C15" s="8"/>
    </row>
    <row r="16" spans="1:4" ht="15.6" customHeight="1" x14ac:dyDescent="0.3">
      <c r="A16" s="2" t="s">
        <v>10</v>
      </c>
      <c r="B16" s="8">
        <v>13000</v>
      </c>
      <c r="C16" s="8"/>
    </row>
    <row r="17" spans="1:3" ht="15.6" customHeight="1" x14ac:dyDescent="0.3">
      <c r="A17" s="2" t="s">
        <v>8</v>
      </c>
      <c r="B17" s="8">
        <f>7700*9</f>
        <v>69300</v>
      </c>
      <c r="C17" s="8"/>
    </row>
    <row r="18" spans="1:3" ht="15.6" customHeight="1" x14ac:dyDescent="0.3">
      <c r="A18" s="2" t="s">
        <v>11</v>
      </c>
      <c r="B18" s="7">
        <f>860*9</f>
        <v>7740</v>
      </c>
      <c r="C18" s="8"/>
    </row>
    <row r="19" spans="1:3" ht="15.6" customHeight="1" x14ac:dyDescent="0.3">
      <c r="A19" s="6"/>
      <c r="B19" s="9">
        <f>SUM(B3:B18)</f>
        <v>705430</v>
      </c>
      <c r="C19" s="10">
        <f>SUM(C3:C18)</f>
        <v>705430</v>
      </c>
    </row>
    <row r="20" spans="1:3" ht="15.6" customHeight="1" x14ac:dyDescent="0.3">
      <c r="B20" s="11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8" ma:contentTypeDescription="Create a new document." ma:contentTypeScope="" ma:versionID="ecd487ed8db3878f6fc752d3e839d19d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1a9372c9027c374d89d663cf2361a631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133E6-4AD2-4E55-8C16-45E21EFF2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0B9661-662C-4790-842A-C8BFD41F756E}">
  <ds:schemaRefs>
    <ds:schemaRef ds:uri="a53cfe13-88a2-4d8a-921a-26acc93ffab7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e3370fb0-917d-486d-8ec5-33c5248dbdec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CC60337-E26F-4C85-A752-F138A6903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@ 30 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2022-06-06T03:14:46Z</dcterms:created>
  <dcterms:modified xsi:type="dcterms:W3CDTF">2025-08-05T03:00:15Z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