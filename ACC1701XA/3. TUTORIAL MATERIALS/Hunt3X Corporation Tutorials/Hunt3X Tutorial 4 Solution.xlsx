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u-my.sharepoint.com/personal/bizhann_nus_edu_sg/Documents/TEACHING/AY2526 S1 ACC1701XA/Tutorial/Hunt3X Tutorial/"/>
    </mc:Choice>
  </mc:AlternateContent>
  <xr:revisionPtr revIDLastSave="8" documentId="8_{640A7E1E-FCA0-4AA9-93F5-E5B9AD083E56}" xr6:coauthVersionLast="47" xr6:coauthVersionMax="47" xr10:uidLastSave="{69F0F024-DD79-4C5C-B0BD-6584250270EA}"/>
  <bookViews>
    <workbookView xWindow="28680" yWindow="-120" windowWidth="29040" windowHeight="15720" activeTab="3" xr2:uid="{DDBBB553-5ABA-4D41-B304-DD91129E46E7}"/>
  </bookViews>
  <sheets>
    <sheet name="TB @ 30 Sept 2025" sheetId="14" r:id="rId1"/>
    <sheet name="Tutorial 2 Sol" sheetId="9" r:id="rId2"/>
    <sheet name="Tutorial 3 Sol" sheetId="17" r:id="rId3"/>
    <sheet name="Tutorial 4 Sol" sheetId="18" r:id="rId4"/>
    <sheet name="TB @ 31 Dec 2024" sheetId="2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9" l="1"/>
  <c r="D5" i="17" l="1"/>
  <c r="D8" i="17"/>
  <c r="Q15" i="18"/>
  <c r="Q14" i="18"/>
  <c r="F21" i="9" l="1"/>
  <c r="A21" i="9"/>
  <c r="AD26" i="18" l="1"/>
  <c r="AD25" i="18"/>
  <c r="AD24" i="18"/>
  <c r="AD23" i="18"/>
  <c r="T3" i="18"/>
  <c r="F8" i="18"/>
  <c r="E8" i="18"/>
  <c r="E14" i="18"/>
  <c r="A17" i="18"/>
  <c r="A10" i="18"/>
  <c r="D17" i="17" l="1"/>
  <c r="E18" i="17" s="1"/>
  <c r="G14" i="18" s="1"/>
  <c r="I14" i="18" s="1"/>
  <c r="B5" i="14"/>
  <c r="B5" i="9" s="1"/>
  <c r="B15" i="14"/>
  <c r="L40" i="9"/>
  <c r="K18" i="9"/>
  <c r="L19" i="9" s="1"/>
  <c r="B12" i="9" s="1"/>
  <c r="Q23" i="9"/>
  <c r="R35" i="9"/>
  <c r="Q35" i="9"/>
  <c r="B13" i="28"/>
  <c r="X7" i="9" s="1"/>
  <c r="C58" i="18" s="1"/>
  <c r="S30" i="9"/>
  <c r="Q16" i="9"/>
  <c r="R9" i="9"/>
  <c r="Q9" i="9"/>
  <c r="Q8" i="9"/>
  <c r="Q25" i="9"/>
  <c r="F10" i="9"/>
  <c r="L34" i="9"/>
  <c r="S14" i="9" s="1"/>
  <c r="L25" i="9"/>
  <c r="K15" i="9"/>
  <c r="R16" i="9" s="1"/>
  <c r="L9" i="9"/>
  <c r="S25" i="9" s="1"/>
  <c r="B11" i="28"/>
  <c r="C7" i="28"/>
  <c r="C10" i="28"/>
  <c r="C9" i="28"/>
  <c r="C8" i="28"/>
  <c r="B18" i="14"/>
  <c r="B17" i="14"/>
  <c r="B14" i="14"/>
  <c r="N14" i="18" l="1"/>
  <c r="AE24" i="18"/>
  <c r="S23" i="9"/>
  <c r="D21" i="9"/>
  <c r="C15" i="28"/>
  <c r="C11" i="28"/>
  <c r="C14" i="28"/>
  <c r="U25" i="9"/>
  <c r="F12" i="9"/>
  <c r="B11" i="9"/>
  <c r="D17" i="18" l="1"/>
  <c r="I17" i="18" s="1"/>
  <c r="N17" i="18" s="1"/>
  <c r="AE27" i="18" s="1"/>
  <c r="A10" i="28"/>
  <c r="A9" i="28"/>
  <c r="A8" i="28"/>
  <c r="A7" i="28"/>
  <c r="A6" i="28"/>
  <c r="A5" i="28"/>
  <c r="A4" i="28"/>
  <c r="A3" i="28"/>
  <c r="W9" i="18" l="1"/>
  <c r="U9" i="18"/>
  <c r="A20" i="18"/>
  <c r="P28" i="9"/>
  <c r="U28" i="9" s="1"/>
  <c r="D20" i="18" s="1"/>
  <c r="I20" i="18" s="1"/>
  <c r="N28" i="9"/>
  <c r="Q13" i="9"/>
  <c r="W12" i="18" l="1"/>
  <c r="AE35" i="18" s="1"/>
  <c r="N20" i="18"/>
  <c r="AC35" i="18"/>
  <c r="P29" i="9" l="1"/>
  <c r="U29" i="9" s="1"/>
  <c r="D21" i="18" s="1"/>
  <c r="I21" i="18" s="1"/>
  <c r="B46" i="18"/>
  <c r="B45" i="18"/>
  <c r="B44" i="18"/>
  <c r="B43" i="18"/>
  <c r="E16" i="18"/>
  <c r="F31" i="18"/>
  <c r="E31" i="18"/>
  <c r="E27" i="17"/>
  <c r="G16" i="18" s="1"/>
  <c r="I16" i="18" s="1"/>
  <c r="Q17" i="18"/>
  <c r="E26" i="18"/>
  <c r="E11" i="18"/>
  <c r="E29" i="18"/>
  <c r="E28" i="18"/>
  <c r="F23" i="18"/>
  <c r="E23" i="18"/>
  <c r="E9" i="18"/>
  <c r="E30" i="18"/>
  <c r="E15" i="18" s="1"/>
  <c r="E12" i="17" l="1"/>
  <c r="G9" i="18" s="1"/>
  <c r="E13" i="18"/>
  <c r="E22" i="18" s="1"/>
  <c r="E7" i="18"/>
  <c r="E24" i="18" s="1"/>
  <c r="E24" i="17"/>
  <c r="G26" i="18" s="1"/>
  <c r="Q24" i="9"/>
  <c r="R15" i="9"/>
  <c r="Q15" i="9"/>
  <c r="B20" i="9"/>
  <c r="A20" i="9"/>
  <c r="A19" i="9"/>
  <c r="K41" i="9"/>
  <c r="L37" i="9"/>
  <c r="D20" i="9" s="1"/>
  <c r="H8" i="18" l="1"/>
  <c r="F28" i="18"/>
  <c r="S24" i="9"/>
  <c r="F19" i="9"/>
  <c r="B17" i="9"/>
  <c r="D16" i="9"/>
  <c r="F15" i="9"/>
  <c r="B13" i="9"/>
  <c r="A13" i="9"/>
  <c r="A8" i="9"/>
  <c r="B10" i="9"/>
  <c r="A10" i="9"/>
  <c r="A7" i="9"/>
  <c r="B8" i="9"/>
  <c r="D7" i="9"/>
  <c r="B7" i="9"/>
  <c r="B6" i="9"/>
  <c r="R33" i="9"/>
  <c r="Q33" i="9"/>
  <c r="R21" i="9"/>
  <c r="Q21" i="9"/>
  <c r="R22" i="9"/>
  <c r="Q22" i="9"/>
  <c r="Q12" i="9"/>
  <c r="Q11" i="9"/>
  <c r="R34" i="9"/>
  <c r="Q34" i="9"/>
  <c r="Q17" i="9"/>
  <c r="R10" i="9"/>
  <c r="Q10" i="9"/>
  <c r="R31" i="9"/>
  <c r="S20" i="9"/>
  <c r="Q20" i="9"/>
  <c r="Q30" i="9"/>
  <c r="Q31" i="9" s="1"/>
  <c r="R19" i="9"/>
  <c r="Q19" i="9"/>
  <c r="R7" i="9"/>
  <c r="Q7" i="9"/>
  <c r="R6" i="9"/>
  <c r="Q6" i="9"/>
  <c r="Q27" i="9" s="1"/>
  <c r="O33" i="9"/>
  <c r="P30" i="9"/>
  <c r="P27" i="9"/>
  <c r="P26" i="9"/>
  <c r="P24" i="9"/>
  <c r="F13" i="18" s="1"/>
  <c r="G22" i="18" s="1"/>
  <c r="P22" i="9"/>
  <c r="O19" i="9"/>
  <c r="N35" i="9"/>
  <c r="N34" i="9"/>
  <c r="N33" i="9"/>
  <c r="N32" i="9"/>
  <c r="N31" i="9"/>
  <c r="N30" i="9"/>
  <c r="N29" i="9"/>
  <c r="N27" i="9"/>
  <c r="N26" i="9"/>
  <c r="N24" i="9"/>
  <c r="N22" i="9"/>
  <c r="N19" i="9"/>
  <c r="N18" i="9"/>
  <c r="N16" i="9"/>
  <c r="O6" i="9"/>
  <c r="N6" i="9"/>
  <c r="O34" i="9"/>
  <c r="D5" i="9"/>
  <c r="O32" i="9"/>
  <c r="O16" i="9"/>
  <c r="D22" i="9" l="1"/>
  <c r="X3" i="9" s="1"/>
  <c r="T32" i="9"/>
  <c r="C24" i="18" s="1"/>
  <c r="T19" i="9"/>
  <c r="C9" i="18" s="1"/>
  <c r="B20" i="14"/>
  <c r="F5" i="9"/>
  <c r="U24" i="9"/>
  <c r="D13" i="18" s="1"/>
  <c r="I13" i="18" s="1"/>
  <c r="AE23" i="18" s="1"/>
  <c r="M8" i="18"/>
  <c r="O31" i="9"/>
  <c r="T31" i="9" s="1"/>
  <c r="A27" i="18"/>
  <c r="Q13" i="18" s="1"/>
  <c r="U22" i="9"/>
  <c r="O35" i="9"/>
  <c r="T35" i="9" s="1"/>
  <c r="C27" i="18" s="1"/>
  <c r="O18" i="9"/>
  <c r="T18" i="9" s="1"/>
  <c r="C7" i="18" s="1"/>
  <c r="P37" i="9"/>
  <c r="U26" i="9"/>
  <c r="T21" i="9"/>
  <c r="R37" i="9"/>
  <c r="T33" i="9"/>
  <c r="C25" i="18" s="1"/>
  <c r="T34" i="9"/>
  <c r="C26" i="18" s="1"/>
  <c r="C10" i="18" l="1"/>
  <c r="D18" i="18"/>
  <c r="C23" i="18"/>
  <c r="G5" i="9"/>
  <c r="N13" i="18"/>
  <c r="B42" i="18"/>
  <c r="O37" i="9"/>
  <c r="E15" i="17" l="1"/>
  <c r="G15" i="18" s="1"/>
  <c r="I15" i="18" s="1"/>
  <c r="F30" i="18"/>
  <c r="H30" i="18" s="1"/>
  <c r="AE25" i="18" l="1"/>
  <c r="N15" i="18"/>
  <c r="R17" i="18"/>
  <c r="D45" i="18"/>
  <c r="L30" i="18" s="1"/>
  <c r="M30" i="18" s="1"/>
  <c r="F29" i="18"/>
  <c r="E21" i="17"/>
  <c r="G11" i="18" s="1"/>
  <c r="I11" i="18" s="1"/>
  <c r="AD12" i="18"/>
  <c r="A26" i="18"/>
  <c r="Q12" i="18" s="1"/>
  <c r="A25" i="18"/>
  <c r="Q11" i="18" s="1"/>
  <c r="A24" i="18"/>
  <c r="Q10" i="18" s="1"/>
  <c r="A23" i="18"/>
  <c r="A22" i="18"/>
  <c r="Q7" i="18" s="1"/>
  <c r="A21" i="18"/>
  <c r="A19" i="18"/>
  <c r="A18" i="18"/>
  <c r="A12" i="18"/>
  <c r="AD22" i="18" s="1"/>
  <c r="A9" i="18"/>
  <c r="A7" i="18"/>
  <c r="A6" i="18"/>
  <c r="A5" i="18"/>
  <c r="Q19" i="18"/>
  <c r="N11" i="18" l="1"/>
  <c r="AC34" i="18"/>
  <c r="AD9" i="18"/>
  <c r="Q8" i="18"/>
  <c r="AD13" i="18"/>
  <c r="B41" i="18"/>
  <c r="AD11" i="18"/>
  <c r="AD10" i="18"/>
  <c r="AD30" i="18"/>
  <c r="B40" i="18"/>
  <c r="B39" i="18"/>
  <c r="H27" i="18"/>
  <c r="R13" i="18" s="1"/>
  <c r="A37" i="18"/>
  <c r="T5" i="18"/>
  <c r="AC3" i="18"/>
  <c r="E9" i="17"/>
  <c r="E6" i="17"/>
  <c r="G7" i="18" s="1"/>
  <c r="D42" i="18" l="1"/>
  <c r="L27" i="18" s="1"/>
  <c r="M27" i="18" s="1"/>
  <c r="F24" i="18"/>
  <c r="H7" i="18"/>
  <c r="E28" i="17"/>
  <c r="D28" i="17"/>
  <c r="H31" i="18"/>
  <c r="R19" i="18" s="1"/>
  <c r="B38" i="18"/>
  <c r="D46" i="18" l="1"/>
  <c r="L31" i="18" s="1"/>
  <c r="M31" i="18" s="1"/>
  <c r="N16" i="18"/>
  <c r="AE11" i="18"/>
  <c r="M7" i="18"/>
  <c r="AE26" i="18"/>
  <c r="F32" i="18"/>
  <c r="H29" i="18"/>
  <c r="R15" i="18" s="1"/>
  <c r="AE12" i="18"/>
  <c r="D44" i="18" l="1"/>
  <c r="L29" i="18" s="1"/>
  <c r="M29" i="18" s="1"/>
  <c r="G32" i="18"/>
  <c r="C19" i="14" l="1"/>
  <c r="B19" i="14"/>
  <c r="A6" i="9" l="1"/>
  <c r="H28" i="18" l="1"/>
  <c r="R14" i="18" s="1"/>
  <c r="H24" i="18"/>
  <c r="A17" i="9"/>
  <c r="A16" i="9"/>
  <c r="A15" i="9"/>
  <c r="E5" i="9"/>
  <c r="E6" i="9" s="1"/>
  <c r="E7" i="9" s="1"/>
  <c r="E8" i="9" s="1"/>
  <c r="C5" i="9"/>
  <c r="C6" i="9" s="1"/>
  <c r="C7" i="9" s="1"/>
  <c r="C8" i="9" s="1"/>
  <c r="L31" i="9"/>
  <c r="L28" i="9"/>
  <c r="L22" i="9"/>
  <c r="L12" i="9"/>
  <c r="L6" i="9"/>
  <c r="B9" i="9" l="1"/>
  <c r="S8" i="9"/>
  <c r="C10" i="9"/>
  <c r="C12" i="9" s="1"/>
  <c r="C13" i="9" s="1"/>
  <c r="C14" i="9" s="1"/>
  <c r="C15" i="9" s="1"/>
  <c r="C16" i="9" s="1"/>
  <c r="C17" i="9" s="1"/>
  <c r="C9" i="9"/>
  <c r="E10" i="9"/>
  <c r="E12" i="9" s="1"/>
  <c r="E13" i="9" s="1"/>
  <c r="E14" i="9" s="1"/>
  <c r="E15" i="9" s="1"/>
  <c r="E16" i="9" s="1"/>
  <c r="E17" i="9" s="1"/>
  <c r="E18" i="9" s="1"/>
  <c r="E19" i="9" s="1"/>
  <c r="E9" i="9"/>
  <c r="D43" i="18"/>
  <c r="L28" i="18" s="1"/>
  <c r="M28" i="18" s="1"/>
  <c r="D39" i="18"/>
  <c r="L24" i="18" s="1"/>
  <c r="M24" i="18" s="1"/>
  <c r="F6" i="9"/>
  <c r="F22" i="9" s="1"/>
  <c r="L41" i="9"/>
  <c r="D24" i="9"/>
  <c r="U30" i="9"/>
  <c r="S17" i="9"/>
  <c r="T16" i="9" s="1"/>
  <c r="B14" i="9"/>
  <c r="S11" i="9"/>
  <c r="B15" i="9"/>
  <c r="S12" i="9"/>
  <c r="B16" i="9"/>
  <c r="S13" i="9"/>
  <c r="B18" i="9"/>
  <c r="S27" i="9"/>
  <c r="U10" i="18" s="1"/>
  <c r="R10" i="18"/>
  <c r="Y9" i="18"/>
  <c r="AA9" i="18" s="1"/>
  <c r="H26" i="18"/>
  <c r="R12" i="18" s="1"/>
  <c r="H25" i="18"/>
  <c r="R11" i="18" s="1"/>
  <c r="I18" i="18"/>
  <c r="C18" i="9"/>
  <c r="C19" i="9" s="1"/>
  <c r="C20" i="9" s="1"/>
  <c r="C21" i="9" s="1"/>
  <c r="H10" i="18"/>
  <c r="AE16" i="18" s="1"/>
  <c r="B22" i="9" l="1"/>
  <c r="AA10" i="18"/>
  <c r="X9" i="9"/>
  <c r="D25" i="9"/>
  <c r="T6" i="9"/>
  <c r="C6" i="18"/>
  <c r="H6" i="18" s="1"/>
  <c r="D22" i="18"/>
  <c r="D40" i="18"/>
  <c r="L25" i="18" s="1"/>
  <c r="M25" i="18" s="1"/>
  <c r="D41" i="18"/>
  <c r="L26" i="18" s="1"/>
  <c r="M26" i="18" s="1"/>
  <c r="M10" i="18"/>
  <c r="N18" i="18"/>
  <c r="D12" i="18"/>
  <c r="AE30" i="18"/>
  <c r="AE31" i="18" s="1"/>
  <c r="U27" i="9"/>
  <c r="S37" i="9"/>
  <c r="H9" i="18"/>
  <c r="H23" i="18"/>
  <c r="R8" i="18" s="1"/>
  <c r="I22" i="18" l="1"/>
  <c r="R22" i="18" s="1"/>
  <c r="D19" i="18"/>
  <c r="I19" i="18" s="1"/>
  <c r="F24" i="9"/>
  <c r="F25" i="9" s="1"/>
  <c r="C5" i="18"/>
  <c r="B24" i="9"/>
  <c r="B25" i="9" s="1"/>
  <c r="M6" i="18"/>
  <c r="X4" i="9"/>
  <c r="M9" i="18"/>
  <c r="I12" i="18"/>
  <c r="D38" i="18"/>
  <c r="L23" i="18" s="1"/>
  <c r="M23" i="18" s="1"/>
  <c r="U12" i="18"/>
  <c r="AE34" i="18" s="1"/>
  <c r="U37" i="9"/>
  <c r="T37" i="9"/>
  <c r="AE13" i="18"/>
  <c r="AE10" i="18"/>
  <c r="X10" i="9" l="1"/>
  <c r="X11" i="9" s="1"/>
  <c r="C37" i="18"/>
  <c r="D47" i="18" s="1"/>
  <c r="D32" i="18"/>
  <c r="N19" i="18"/>
  <c r="H5" i="18"/>
  <c r="C32" i="18"/>
  <c r="I32" i="18"/>
  <c r="N12" i="18"/>
  <c r="R7" i="18"/>
  <c r="AE22" i="18"/>
  <c r="AE28" i="18" s="1"/>
  <c r="AE32" i="18" s="1"/>
  <c r="AE17" i="18"/>
  <c r="X5" i="9"/>
  <c r="C54" i="18" l="1"/>
  <c r="K22" i="18"/>
  <c r="D33" i="18"/>
  <c r="AE9" i="18"/>
  <c r="AE14" i="18" s="1"/>
  <c r="H32" i="18"/>
  <c r="I33" i="18" s="1"/>
  <c r="M5" i="18"/>
  <c r="M32" i="18" s="1"/>
  <c r="L21" i="18"/>
  <c r="R9" i="18"/>
  <c r="R16" i="18" s="1"/>
  <c r="AE18" i="18" l="1"/>
  <c r="C64" i="18" s="1"/>
  <c r="K32" i="18"/>
  <c r="N22" i="18"/>
  <c r="R18" i="18"/>
  <c r="R20" i="18" s="1"/>
  <c r="N21" i="18"/>
  <c r="L32" i="18"/>
  <c r="N32" i="18" l="1"/>
  <c r="N33" i="18" s="1"/>
  <c r="C59" i="18"/>
  <c r="C53" i="18"/>
  <c r="C63" i="18"/>
  <c r="C62" i="18" s="1"/>
  <c r="C60" i="18"/>
  <c r="Y11" i="18"/>
  <c r="Y12" i="18" s="1"/>
  <c r="AE36" i="18" s="1"/>
  <c r="AA11" i="18" l="1"/>
  <c r="AA12" i="18" s="1"/>
  <c r="C52" i="18"/>
  <c r="C57" i="18"/>
  <c r="AE37" i="18"/>
  <c r="AE38" i="18" s="1"/>
  <c r="C56" i="18" l="1"/>
</calcChain>
</file>

<file path=xl/sharedStrings.xml><?xml version="1.0" encoding="utf-8"?>
<sst xmlns="http://schemas.openxmlformats.org/spreadsheetml/2006/main" count="234" uniqueCount="126">
  <si>
    <t>Interest Expense</t>
  </si>
  <si>
    <t>Cash</t>
  </si>
  <si>
    <t>Property, Plant &amp; Equipment (PPE)</t>
  </si>
  <si>
    <t>Inventory</t>
  </si>
  <si>
    <t>Cost of Goods Sold</t>
  </si>
  <si>
    <t>Long-term Debt</t>
  </si>
  <si>
    <t>Accounts Payable</t>
  </si>
  <si>
    <t>Assets</t>
  </si>
  <si>
    <t>Total Assets</t>
  </si>
  <si>
    <t>Liabilities</t>
  </si>
  <si>
    <t>Total Liabilities</t>
  </si>
  <si>
    <t>Equity</t>
  </si>
  <si>
    <t>Debit</t>
  </si>
  <si>
    <t>Credit</t>
  </si>
  <si>
    <t>Journal Entries</t>
  </si>
  <si>
    <t>Rent Expense</t>
  </si>
  <si>
    <t>Salaries Expense</t>
  </si>
  <si>
    <t>Prepaid Rent</t>
  </si>
  <si>
    <t>(a)</t>
  </si>
  <si>
    <t>(b)</t>
  </si>
  <si>
    <t xml:space="preserve">(c) </t>
  </si>
  <si>
    <t>(d)</t>
  </si>
  <si>
    <t xml:space="preserve">(e) </t>
  </si>
  <si>
    <t>(g)</t>
  </si>
  <si>
    <t>PART (1)</t>
  </si>
  <si>
    <t>PART (2)</t>
  </si>
  <si>
    <t>PART (4)</t>
  </si>
  <si>
    <t>PART (3)</t>
  </si>
  <si>
    <t>PART (5)</t>
  </si>
  <si>
    <t>Debt Ratio</t>
  </si>
  <si>
    <t>Marketing Expense</t>
  </si>
  <si>
    <t>General Admin Expense</t>
  </si>
  <si>
    <t>(f)</t>
  </si>
  <si>
    <t>(h)</t>
  </si>
  <si>
    <t>=</t>
  </si>
  <si>
    <t>+</t>
  </si>
  <si>
    <t>Accounting Equation Effects</t>
  </si>
  <si>
    <t>Accounts Receivable</t>
  </si>
  <si>
    <t>TUTORIAL 2 SOLUTION</t>
  </si>
  <si>
    <t xml:space="preserve">Adjusting / Correcting Journal Entries </t>
  </si>
  <si>
    <t>Interest Payable</t>
  </si>
  <si>
    <t>Depreciation Expense</t>
  </si>
  <si>
    <t>Unearned Revenue</t>
  </si>
  <si>
    <t>Income Tax Expense</t>
  </si>
  <si>
    <t>TUTORIAL 3 SOLUTION</t>
  </si>
  <si>
    <t>Ref</t>
  </si>
  <si>
    <t>Statement of Profit &amp; Loss</t>
  </si>
  <si>
    <t>Statement of Changes in Equity</t>
  </si>
  <si>
    <t>Statement of Financial Position</t>
  </si>
  <si>
    <t>Sales Revenue</t>
  </si>
  <si>
    <t xml:space="preserve">Retained </t>
  </si>
  <si>
    <t xml:space="preserve">Total </t>
  </si>
  <si>
    <t>Earnings</t>
  </si>
  <si>
    <t>Current Assets:</t>
  </si>
  <si>
    <t>Gross Profit</t>
  </si>
  <si>
    <t>Beginning Balance</t>
  </si>
  <si>
    <t>Shares Issuance</t>
  </si>
  <si>
    <t>Net Income</t>
  </si>
  <si>
    <t>Ending Balance</t>
  </si>
  <si>
    <t>Total Current Assets</t>
  </si>
  <si>
    <t>Non-current Assets:</t>
  </si>
  <si>
    <t>Taxes Payable</t>
  </si>
  <si>
    <t>Operating Income</t>
  </si>
  <si>
    <t>Total Non-current Assets</t>
  </si>
  <si>
    <t>Profit Before Tax</t>
  </si>
  <si>
    <t>Current Liabilities:</t>
  </si>
  <si>
    <t>Total Current Liabilities</t>
  </si>
  <si>
    <t>Non-current Liabilities:</t>
  </si>
  <si>
    <t>Retained Earnings</t>
  </si>
  <si>
    <t>Total Equity</t>
  </si>
  <si>
    <t>Total Liabilities &amp; Equity</t>
  </si>
  <si>
    <t>(i)</t>
  </si>
  <si>
    <t>Net Profit Margin</t>
  </si>
  <si>
    <t>Net Sales</t>
  </si>
  <si>
    <t>(ii)</t>
  </si>
  <si>
    <t>Return on Assets</t>
  </si>
  <si>
    <t>Beginning Total Assets</t>
  </si>
  <si>
    <t>Ending Total Assets</t>
  </si>
  <si>
    <t>Average Total Assets</t>
  </si>
  <si>
    <t>(iii)</t>
  </si>
  <si>
    <t>TB Worksheet</t>
  </si>
  <si>
    <t>NI</t>
  </si>
  <si>
    <t xml:space="preserve">Cash </t>
  </si>
  <si>
    <t>Part (3)</t>
  </si>
  <si>
    <t>Trial Balance Worksheet</t>
  </si>
  <si>
    <t>(j)</t>
  </si>
  <si>
    <t>Net Profit</t>
  </si>
  <si>
    <t>Account Name</t>
  </si>
  <si>
    <t>Part 3</t>
  </si>
  <si>
    <t>Share Capital - Ordinary Shares</t>
  </si>
  <si>
    <t>Accumulated Depreciation - Equipment</t>
  </si>
  <si>
    <t xml:space="preserve">Ordinary </t>
  </si>
  <si>
    <t>Shares</t>
  </si>
  <si>
    <t xml:space="preserve">Preference </t>
  </si>
  <si>
    <t>Share Capital - Preference Shares (cumulative)</t>
  </si>
  <si>
    <t>Hunt3X Corporation</t>
  </si>
  <si>
    <t>Trial Balance as at 30 September 2025</t>
  </si>
  <si>
    <t>Short Term Notes Payable</t>
  </si>
  <si>
    <t>Retained Earnings  (@ 31 Dec 2024)</t>
  </si>
  <si>
    <t>Account Balances as at 31 Dec 2024</t>
  </si>
  <si>
    <t>@ 30 September 2025</t>
  </si>
  <si>
    <t>@ 31 Dec 2025</t>
  </si>
  <si>
    <t>Transactions (Sept - Dec)</t>
  </si>
  <si>
    <t>Balance @ 31 Dec 2025</t>
  </si>
  <si>
    <t>Balance @ 30 Sept 2025</t>
  </si>
  <si>
    <t>Property Plant and Equipment (PPE)</t>
  </si>
  <si>
    <t>(k)</t>
  </si>
  <si>
    <t>Consulting Fees</t>
  </si>
  <si>
    <t>Consulting Fees Payable</t>
  </si>
  <si>
    <t>Prepaid Salaries</t>
  </si>
  <si>
    <t xml:space="preserve">Consulting Fees </t>
  </si>
  <si>
    <t xml:space="preserve">Hunt3X Coporation </t>
  </si>
  <si>
    <t>For the Year Ended 31 December 2025</t>
  </si>
  <si>
    <t>As at 31 December 2025</t>
  </si>
  <si>
    <t>ST Notes Payable</t>
  </si>
  <si>
    <t>TUTORIAL 4 SOLUTION</t>
  </si>
  <si>
    <t>Closing Entries @ 31 December 2025</t>
  </si>
  <si>
    <t>Adjustments/Corrections 
(from Tutorial 2)</t>
  </si>
  <si>
    <t>Adjusted Trial Balance @ 31 Dec 2025</t>
  </si>
  <si>
    <t>Post Closing Trial Balance @ 31 Dec 2025</t>
  </si>
  <si>
    <t>Unadjusted Trial Balance 
@ 31 Dec 2025</t>
  </si>
  <si>
    <t>Check NI balance with TB</t>
  </si>
  <si>
    <t>Total Non-current Liabilities</t>
  </si>
  <si>
    <t>Closing Entries (from part 3)</t>
  </si>
  <si>
    <t>2025 Ratios</t>
  </si>
  <si>
    <t>Balance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</si>
</sst>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\+#,##0_);\-#,##0"/>
    <numFmt numFmtId="168" formatCode="0.000"/>
    <numFmt numFmtId="169" formatCode="_(&quot;$&quot;* #,##0_);_(&quot;$&quot;* \(#,##0\);_(&quot;$&quot;* &quot;-&quot;??_);_(@_)"/>
    <numFmt numFmtId="170" formatCode="#,##0.000_);\(#,##0.000\)"/>
    <numFmt numFmtId="171" formatCode="0.0"/>
    <numFmt numFmtId="172" formatCode="#,##0;\(#,##0\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horizontal="center"/>
    </xf>
    <xf numFmtId="0" fontId="0" fillId="2" borderId="6" xfId="0" applyFill="1" applyBorder="1"/>
    <xf numFmtId="0" fontId="0" fillId="2" borderId="10" xfId="0" applyFill="1" applyBorder="1"/>
    <xf numFmtId="0" fontId="1" fillId="3" borderId="0" xfId="0" applyFont="1" applyFill="1"/>
    <xf numFmtId="0" fontId="0" fillId="3" borderId="0" xfId="0" applyFill="1"/>
    <xf numFmtId="0" fontId="0" fillId="2" borderId="15" xfId="0" applyFill="1" applyBorder="1"/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0" fillId="2" borderId="15" xfId="0" applyNumberFormat="1" applyFill="1" applyBorder="1" applyAlignment="1">
      <alignment horizontal="center"/>
    </xf>
    <xf numFmtId="167" fontId="0" fillId="2" borderId="2" xfId="0" applyNumberFormat="1" applyFill="1" applyBorder="1" applyAlignment="1">
      <alignment horizontal="center"/>
    </xf>
    <xf numFmtId="167" fontId="0" fillId="2" borderId="9" xfId="0" applyNumberFormat="1" applyFill="1" applyBorder="1" applyAlignment="1">
      <alignment horizontal="center"/>
    </xf>
    <xf numFmtId="16" fontId="1" fillId="2" borderId="15" xfId="0" applyNumberFormat="1" applyFont="1" applyFill="1" applyBorder="1"/>
    <xf numFmtId="3" fontId="1" fillId="2" borderId="15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1" fillId="2" borderId="9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left"/>
    </xf>
    <xf numFmtId="0" fontId="1" fillId="2" borderId="17" xfId="0" applyFont="1" applyFill="1" applyBorder="1"/>
    <xf numFmtId="166" fontId="0" fillId="2" borderId="6" xfId="1" applyNumberFormat="1" applyFont="1" applyFill="1" applyBorder="1" applyAlignment="1">
      <alignment horizontal="center" vertical="top"/>
    </xf>
    <xf numFmtId="166" fontId="0" fillId="2" borderId="12" xfId="1" applyNumberFormat="1" applyFont="1" applyFill="1" applyBorder="1" applyAlignment="1">
      <alignment horizontal="center" vertical="top"/>
    </xf>
    <xf numFmtId="166" fontId="1" fillId="2" borderId="15" xfId="1" applyNumberFormat="1" applyFont="1" applyFill="1" applyBorder="1" applyAlignment="1">
      <alignment horizontal="center" vertical="top"/>
    </xf>
    <xf numFmtId="166" fontId="1" fillId="2" borderId="17" xfId="1" applyNumberFormat="1" applyFont="1" applyFill="1" applyBorder="1" applyAlignment="1">
      <alignment horizontal="center" vertical="top"/>
    </xf>
    <xf numFmtId="0" fontId="1" fillId="2" borderId="0" xfId="0" applyFont="1" applyFill="1"/>
    <xf numFmtId="0" fontId="1" fillId="2" borderId="15" xfId="0" applyFont="1" applyFill="1" applyBorder="1"/>
    <xf numFmtId="0" fontId="1" fillId="2" borderId="2" xfId="0" applyFont="1" applyFill="1" applyBorder="1"/>
    <xf numFmtId="0" fontId="0" fillId="2" borderId="0" xfId="0" applyFill="1" applyAlignment="1">
      <alignment horizontal="center"/>
    </xf>
    <xf numFmtId="0" fontId="0" fillId="2" borderId="7" xfId="0" applyFill="1" applyBorder="1"/>
    <xf numFmtId="16" fontId="1" fillId="2" borderId="6" xfId="0" applyNumberFormat="1" applyFont="1" applyFill="1" applyBorder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/>
    <xf numFmtId="0" fontId="1" fillId="2" borderId="7" xfId="0" applyFont="1" applyFill="1" applyBorder="1"/>
    <xf numFmtId="0" fontId="1" fillId="2" borderId="6" xfId="0" applyFont="1" applyFill="1" applyBorder="1"/>
    <xf numFmtId="3" fontId="1" fillId="2" borderId="7" xfId="0" applyNumberFormat="1" applyFont="1" applyFill="1" applyBorder="1"/>
    <xf numFmtId="16" fontId="1" fillId="2" borderId="6" xfId="0" quotePrefix="1" applyNumberFormat="1" applyFont="1" applyFill="1" applyBorder="1"/>
    <xf numFmtId="0" fontId="1" fillId="2" borderId="6" xfId="0" quotePrefix="1" applyFont="1" applyFill="1" applyBorder="1"/>
    <xf numFmtId="166" fontId="1" fillId="2" borderId="14" xfId="1" applyNumberFormat="1" applyFont="1" applyFill="1" applyBorder="1"/>
    <xf numFmtId="166" fontId="1" fillId="2" borderId="16" xfId="1" applyNumberFormat="1" applyFont="1" applyFill="1" applyBorder="1"/>
    <xf numFmtId="0" fontId="0" fillId="2" borderId="8" xfId="0" applyFill="1" applyBorder="1"/>
    <xf numFmtId="0" fontId="5" fillId="2" borderId="1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3" fontId="1" fillId="2" borderId="6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6" fontId="4" fillId="2" borderId="0" xfId="0" applyNumberFormat="1" applyFont="1" applyFill="1" applyAlignment="1">
      <alignment horizontal="center"/>
    </xf>
    <xf numFmtId="3" fontId="4" fillId="2" borderId="0" xfId="0" applyNumberFormat="1" applyFont="1" applyFill="1"/>
    <xf numFmtId="0" fontId="4" fillId="2" borderId="7" xfId="0" applyFont="1" applyFill="1" applyBorder="1"/>
    <xf numFmtId="0" fontId="5" fillId="2" borderId="6" xfId="0" applyFont="1" applyFill="1" applyBorder="1"/>
    <xf numFmtId="3" fontId="0" fillId="2" borderId="7" xfId="0" applyNumberFormat="1" applyFill="1" applyBorder="1"/>
    <xf numFmtId="3" fontId="0" fillId="2" borderId="0" xfId="0" applyNumberFormat="1" applyFill="1"/>
    <xf numFmtId="3" fontId="4" fillId="2" borderId="7" xfId="0" applyNumberFormat="1" applyFont="1" applyFill="1" applyBorder="1"/>
    <xf numFmtId="0" fontId="1" fillId="2" borderId="6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4" fillId="2" borderId="0" xfId="0" applyNumberFormat="1" applyFont="1" applyFill="1" applyAlignment="1">
      <alignment horizontal="center"/>
    </xf>
    <xf numFmtId="0" fontId="4" fillId="2" borderId="0" xfId="0" applyFont="1" applyFill="1"/>
    <xf numFmtId="0" fontId="1" fillId="2" borderId="10" xfId="0" applyFont="1" applyFill="1" applyBorder="1"/>
    <xf numFmtId="166" fontId="1" fillId="2" borderId="15" xfId="1" applyNumberFormat="1" applyFont="1" applyFill="1" applyBorder="1" applyAlignment="1">
      <alignment horizontal="center"/>
    </xf>
    <xf numFmtId="166" fontId="1" fillId="2" borderId="9" xfId="1" applyNumberFormat="1" applyFont="1" applyFill="1" applyBorder="1" applyAlignment="1">
      <alignment horizontal="center"/>
    </xf>
    <xf numFmtId="166" fontId="4" fillId="2" borderId="2" xfId="1" applyNumberFormat="1" applyFont="1" applyFill="1" applyBorder="1" applyAlignment="1">
      <alignment horizontal="center"/>
    </xf>
    <xf numFmtId="166" fontId="0" fillId="2" borderId="2" xfId="1" applyNumberFormat="1" applyFont="1" applyFill="1" applyBorder="1" applyAlignment="1">
      <alignment horizontal="center"/>
    </xf>
    <xf numFmtId="166" fontId="0" fillId="2" borderId="9" xfId="1" applyNumberFormat="1" applyFont="1" applyFill="1" applyBorder="1" applyAlignment="1">
      <alignment horizontal="center"/>
    </xf>
    <xf numFmtId="166" fontId="1" fillId="2" borderId="2" xfId="1" applyNumberFormat="1" applyFont="1" applyFill="1" applyBorder="1" applyAlignment="1">
      <alignment horizontal="center"/>
    </xf>
    <xf numFmtId="0" fontId="0" fillId="2" borderId="17" xfId="0" applyFill="1" applyBorder="1"/>
    <xf numFmtId="0" fontId="3" fillId="2" borderId="0" xfId="0" applyFont="1" applyFill="1"/>
    <xf numFmtId="37" fontId="0" fillId="2" borderId="9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165" fontId="0" fillId="2" borderId="0" xfId="1" applyFont="1" applyFill="1" applyBorder="1" applyAlignment="1">
      <alignment horizontal="center" vertical="top"/>
    </xf>
    <xf numFmtId="0" fontId="0" fillId="2" borderId="3" xfId="0" applyFill="1" applyBorder="1" applyAlignment="1">
      <alignment horizontal="center"/>
    </xf>
    <xf numFmtId="167" fontId="0" fillId="2" borderId="0" xfId="0" applyNumberFormat="1" applyFill="1" applyAlignment="1">
      <alignment horizontal="center"/>
    </xf>
    <xf numFmtId="37" fontId="0" fillId="2" borderId="17" xfId="0" applyNumberFormat="1" applyFill="1" applyBorder="1" applyAlignment="1">
      <alignment horizontal="center"/>
    </xf>
    <xf numFmtId="168" fontId="1" fillId="2" borderId="17" xfId="0" applyNumberFormat="1" applyFont="1" applyFill="1" applyBorder="1" applyAlignment="1">
      <alignment horizontal="center"/>
    </xf>
    <xf numFmtId="166" fontId="4" fillId="2" borderId="0" xfId="0" applyNumberFormat="1" applyFont="1" applyFill="1"/>
    <xf numFmtId="166" fontId="0" fillId="2" borderId="0" xfId="0" applyNumberFormat="1" applyFill="1"/>
    <xf numFmtId="0" fontId="0" fillId="2" borderId="9" xfId="0" applyFill="1" applyBorder="1" applyAlignment="1">
      <alignment horizontal="center"/>
    </xf>
    <xf numFmtId="0" fontId="5" fillId="2" borderId="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3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7" xfId="0" quotePrefix="1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9" fontId="0" fillId="2" borderId="18" xfId="2" applyNumberFormat="1" applyFont="1" applyFill="1" applyBorder="1"/>
    <xf numFmtId="169" fontId="0" fillId="2" borderId="0" xfId="2" applyNumberFormat="1" applyFont="1" applyFill="1" applyBorder="1"/>
    <xf numFmtId="169" fontId="0" fillId="2" borderId="19" xfId="2" applyNumberFormat="1" applyFont="1" applyFill="1" applyBorder="1"/>
    <xf numFmtId="0" fontId="1" fillId="2" borderId="8" xfId="0" applyFont="1" applyFill="1" applyBorder="1"/>
    <xf numFmtId="166" fontId="4" fillId="2" borderId="9" xfId="1" applyNumberFormat="1" applyFont="1" applyFill="1" applyBorder="1" applyAlignment="1">
      <alignment horizontal="center"/>
    </xf>
    <xf numFmtId="0" fontId="0" fillId="2" borderId="6" xfId="0" quotePrefix="1" applyFill="1" applyBorder="1"/>
    <xf numFmtId="3" fontId="0" fillId="2" borderId="0" xfId="0" applyNumberFormat="1" applyFill="1" applyAlignment="1">
      <alignment horizontal="right"/>
    </xf>
    <xf numFmtId="0" fontId="0" fillId="2" borderId="3" xfId="0" quotePrefix="1" applyFill="1" applyBorder="1"/>
    <xf numFmtId="0" fontId="0" fillId="2" borderId="3" xfId="0" applyFill="1" applyBorder="1"/>
    <xf numFmtId="37" fontId="0" fillId="2" borderId="3" xfId="0" applyNumberFormat="1" applyFill="1" applyBorder="1" applyAlignment="1">
      <alignment horizontal="center"/>
    </xf>
    <xf numFmtId="0" fontId="0" fillId="2" borderId="0" xfId="0" quotePrefix="1" applyFill="1"/>
    <xf numFmtId="37" fontId="0" fillId="2" borderId="0" xfId="0" applyNumberFormat="1" applyFill="1" applyAlignment="1">
      <alignment horizontal="center"/>
    </xf>
    <xf numFmtId="3" fontId="0" fillId="3" borderId="0" xfId="0" applyNumberFormat="1" applyFill="1" applyAlignment="1">
      <alignment horizontal="right"/>
    </xf>
    <xf numFmtId="3" fontId="0" fillId="3" borderId="0" xfId="0" applyNumberFormat="1" applyFill="1"/>
    <xf numFmtId="0" fontId="0" fillId="2" borderId="0" xfId="0" applyFill="1" applyAlignment="1">
      <alignment horizontal="left" vertical="top" wrapText="1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6" fontId="1" fillId="2" borderId="0" xfId="1" applyNumberFormat="1" applyFont="1" applyFill="1" applyBorder="1"/>
    <xf numFmtId="16" fontId="0" fillId="2" borderId="15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" fillId="2" borderId="2" xfId="0" quotePrefix="1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4" fontId="0" fillId="2" borderId="0" xfId="0" applyNumberFormat="1" applyFill="1"/>
    <xf numFmtId="168" fontId="0" fillId="2" borderId="0" xfId="0" applyNumberFormat="1" applyFill="1"/>
    <xf numFmtId="0" fontId="10" fillId="2" borderId="0" xfId="0" applyFont="1" applyFill="1"/>
    <xf numFmtId="171" fontId="10" fillId="2" borderId="0" xfId="0" applyNumberFormat="1" applyFont="1" applyFill="1"/>
    <xf numFmtId="0" fontId="1" fillId="4" borderId="0" xfId="0" applyFont="1" applyFill="1"/>
    <xf numFmtId="0" fontId="4" fillId="4" borderId="0" xfId="0" applyFont="1" applyFill="1"/>
    <xf numFmtId="0" fontId="0" fillId="4" borderId="0" xfId="0" applyFill="1"/>
    <xf numFmtId="172" fontId="0" fillId="2" borderId="7" xfId="0" applyNumberFormat="1" applyFill="1" applyBorder="1" applyAlignment="1">
      <alignment horizontal="center"/>
    </xf>
    <xf numFmtId="172" fontId="0" fillId="2" borderId="8" xfId="0" applyNumberFormat="1" applyFill="1" applyBorder="1" applyAlignment="1">
      <alignment horizontal="center"/>
    </xf>
    <xf numFmtId="172" fontId="1" fillId="2" borderId="9" xfId="0" applyNumberFormat="1" applyFont="1" applyFill="1" applyBorder="1" applyAlignment="1">
      <alignment horizontal="center"/>
    </xf>
    <xf numFmtId="172" fontId="0" fillId="2" borderId="0" xfId="2" applyNumberFormat="1" applyFont="1" applyFill="1" applyBorder="1"/>
    <xf numFmtId="172" fontId="0" fillId="2" borderId="7" xfId="2" applyNumberFormat="1" applyFont="1" applyFill="1" applyBorder="1"/>
    <xf numFmtId="172" fontId="0" fillId="2" borderId="9" xfId="0" applyNumberFormat="1" applyFill="1" applyBorder="1" applyAlignment="1">
      <alignment horizontal="center"/>
    </xf>
    <xf numFmtId="172" fontId="0" fillId="2" borderId="5" xfId="0" applyNumberFormat="1" applyFill="1" applyBorder="1" applyAlignment="1">
      <alignment horizontal="center"/>
    </xf>
    <xf numFmtId="172" fontId="1" fillId="2" borderId="8" xfId="0" applyNumberFormat="1" applyFont="1" applyFill="1" applyBorder="1" applyAlignment="1">
      <alignment horizontal="center"/>
    </xf>
    <xf numFmtId="166" fontId="0" fillId="2" borderId="0" xfId="1" applyNumberFormat="1" applyFont="1" applyFill="1"/>
    <xf numFmtId="43" fontId="0" fillId="0" borderId="0" xfId="0" applyNumberFormat="1"/>
    <xf numFmtId="17" fontId="8" fillId="2" borderId="0" xfId="0" applyNumberFormat="1" applyFont="1" applyFill="1"/>
    <xf numFmtId="9" fontId="0" fillId="2" borderId="0" xfId="0" applyNumberFormat="1" applyFill="1"/>
    <xf numFmtId="10" fontId="0" fillId="2" borderId="0" xfId="4" applyNumberFormat="1" applyFont="1" applyFill="1"/>
    <xf numFmtId="2" fontId="0" fillId="2" borderId="0" xfId="0" applyNumberFormat="1" applyFill="1"/>
    <xf numFmtId="171" fontId="8" fillId="2" borderId="0" xfId="0" applyNumberFormat="1" applyFont="1" applyFill="1"/>
    <xf numFmtId="3" fontId="0" fillId="2" borderId="0" xfId="0" applyNumberForma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9" fillId="2" borderId="0" xfId="0" applyFont="1" applyFill="1"/>
    <xf numFmtId="167" fontId="9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8" fillId="2" borderId="0" xfId="0" applyFont="1" applyFill="1"/>
    <xf numFmtId="167" fontId="8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7" fillId="2" borderId="0" xfId="0" applyFont="1" applyFill="1" applyAlignment="1">
      <alignment horizontal="left" vertical="center" wrapText="1"/>
    </xf>
    <xf numFmtId="0" fontId="1" fillId="2" borderId="11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15" fontId="1" fillId="2" borderId="15" xfId="0" quotePrefix="1" applyNumberFormat="1" applyFont="1" applyFill="1" applyBorder="1" applyAlignment="1">
      <alignment horizontal="center"/>
    </xf>
    <xf numFmtId="15" fontId="1" fillId="2" borderId="9" xfId="0" quotePrefix="1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37" fontId="0" fillId="2" borderId="0" xfId="0" applyNumberFormat="1" applyFill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70" fontId="1" fillId="2" borderId="0" xfId="0" applyNumberFormat="1" applyFont="1" applyFill="1" applyAlignment="1">
      <alignment horizontal="center"/>
    </xf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15" fontId="1" fillId="2" borderId="4" xfId="0" quotePrefix="1" applyNumberFormat="1" applyFont="1" applyFill="1" applyBorder="1" applyAlignment="1">
      <alignment horizontal="center" wrapText="1"/>
    </xf>
    <xf numFmtId="15" fontId="1" fillId="2" borderId="5" xfId="0" quotePrefix="1" applyNumberFormat="1" applyFont="1" applyFill="1" applyBorder="1" applyAlignment="1">
      <alignment horizontal="center" wrapText="1"/>
    </xf>
    <xf numFmtId="15" fontId="1" fillId="2" borderId="3" xfId="0" quotePrefix="1" applyNumberFormat="1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70" fontId="1" fillId="0" borderId="0" xfId="0" applyNumberFormat="1" applyFont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5">
    <cellStyle name="Comma" xfId="1" builtinId="3"/>
    <cellStyle name="Comma 2" xfId="3" xr:uid="{96DDEF59-7D93-4FD0-9B97-D05CEA88FC01}"/>
    <cellStyle name="Currency" xfId="2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21C4-76EE-479E-935D-D5FB8D5049D6}">
  <dimension ref="A1:D20"/>
  <sheetViews>
    <sheetView workbookViewId="0">
      <selection activeCell="G17" sqref="G17"/>
    </sheetView>
  </sheetViews>
  <sheetFormatPr defaultRowHeight="15.65" customHeight="1" x14ac:dyDescent="0.35"/>
  <cols>
    <col min="1" max="1" width="41" customWidth="1"/>
    <col min="2" max="3" width="12.6328125" style="3" customWidth="1"/>
    <col min="4" max="4" width="10.08984375" bestFit="1" customWidth="1"/>
  </cols>
  <sheetData>
    <row r="1" spans="1:4" ht="15.65" customHeight="1" x14ac:dyDescent="0.35">
      <c r="A1" s="144" t="s">
        <v>95</v>
      </c>
      <c r="B1" s="145"/>
      <c r="C1" s="146"/>
    </row>
    <row r="2" spans="1:4" ht="15.65" customHeight="1" x14ac:dyDescent="0.35">
      <c r="A2" s="22" t="s">
        <v>96</v>
      </c>
      <c r="B2" s="9" t="s">
        <v>12</v>
      </c>
      <c r="C2" s="21" t="s">
        <v>13</v>
      </c>
    </row>
    <row r="3" spans="1:4" ht="15.65" customHeight="1" x14ac:dyDescent="0.35">
      <c r="A3" s="4" t="s">
        <v>1</v>
      </c>
      <c r="B3" s="24">
        <v>387216</v>
      </c>
      <c r="C3" s="25"/>
    </row>
    <row r="4" spans="1:4" ht="15.65" customHeight="1" x14ac:dyDescent="0.35">
      <c r="A4" s="4" t="s">
        <v>37</v>
      </c>
      <c r="B4" s="24">
        <v>37100</v>
      </c>
      <c r="C4" s="25"/>
      <c r="D4" s="107"/>
    </row>
    <row r="5" spans="1:4" ht="15.65" customHeight="1" x14ac:dyDescent="0.35">
      <c r="A5" s="4" t="s">
        <v>17</v>
      </c>
      <c r="B5" s="24">
        <f>2200*9</f>
        <v>19800</v>
      </c>
      <c r="C5" s="25"/>
    </row>
    <row r="6" spans="1:4" ht="15.65" customHeight="1" x14ac:dyDescent="0.35">
      <c r="A6" s="4" t="s">
        <v>3</v>
      </c>
      <c r="B6" s="24">
        <v>84000</v>
      </c>
      <c r="C6" s="25"/>
    </row>
    <row r="7" spans="1:4" ht="15.65" customHeight="1" x14ac:dyDescent="0.35">
      <c r="A7" s="4" t="s">
        <v>6</v>
      </c>
      <c r="B7" s="24"/>
      <c r="C7" s="25">
        <v>23400</v>
      </c>
    </row>
    <row r="8" spans="1:4" ht="15.65" customHeight="1" x14ac:dyDescent="0.35">
      <c r="A8" s="4" t="s">
        <v>42</v>
      </c>
      <c r="B8" s="24"/>
      <c r="C8" s="25">
        <v>14500</v>
      </c>
    </row>
    <row r="9" spans="1:4" ht="15.65" customHeight="1" x14ac:dyDescent="0.35">
      <c r="A9" s="4" t="s">
        <v>5</v>
      </c>
      <c r="B9" s="24"/>
      <c r="C9" s="25">
        <v>50000</v>
      </c>
    </row>
    <row r="10" spans="1:4" ht="15.65" customHeight="1" x14ac:dyDescent="0.35">
      <c r="A10" s="4" t="s">
        <v>89</v>
      </c>
      <c r="B10" s="24"/>
      <c r="C10" s="25">
        <v>200000</v>
      </c>
    </row>
    <row r="11" spans="1:4" ht="15.65" customHeight="1" x14ac:dyDescent="0.35">
      <c r="A11" s="4" t="s">
        <v>94</v>
      </c>
      <c r="B11" s="24"/>
      <c r="C11" s="25">
        <v>200000</v>
      </c>
    </row>
    <row r="12" spans="1:4" ht="15.65" customHeight="1" x14ac:dyDescent="0.35">
      <c r="A12" s="4" t="s">
        <v>98</v>
      </c>
      <c r="B12" s="24"/>
      <c r="C12" s="25">
        <v>5230</v>
      </c>
    </row>
    <row r="13" spans="1:4" ht="15.65" customHeight="1" x14ac:dyDescent="0.35">
      <c r="A13" s="4" t="s">
        <v>49</v>
      </c>
      <c r="B13" s="24"/>
      <c r="C13" s="25">
        <v>212300</v>
      </c>
      <c r="D13" s="129"/>
    </row>
    <row r="14" spans="1:4" ht="15.65" customHeight="1" x14ac:dyDescent="0.35">
      <c r="A14" s="4" t="s">
        <v>4</v>
      </c>
      <c r="B14" s="24">
        <f>C13*0.38</f>
        <v>80674</v>
      </c>
      <c r="C14" s="25"/>
    </row>
    <row r="15" spans="1:4" ht="15.65" customHeight="1" x14ac:dyDescent="0.35">
      <c r="A15" s="4" t="s">
        <v>15</v>
      </c>
      <c r="B15" s="25">
        <f>2200*3</f>
        <v>6600</v>
      </c>
      <c r="C15" s="25"/>
    </row>
    <row r="16" spans="1:4" ht="15.65" customHeight="1" x14ac:dyDescent="0.35">
      <c r="A16" s="4" t="s">
        <v>30</v>
      </c>
      <c r="B16" s="25">
        <v>13000</v>
      </c>
      <c r="C16" s="25"/>
    </row>
    <row r="17" spans="1:4" ht="15.65" customHeight="1" x14ac:dyDescent="0.35">
      <c r="A17" s="4" t="s">
        <v>16</v>
      </c>
      <c r="B17" s="25">
        <f>7700*9</f>
        <v>69300</v>
      </c>
      <c r="C17" s="25"/>
    </row>
    <row r="18" spans="1:4" ht="15.65" customHeight="1" x14ac:dyDescent="0.35">
      <c r="A18" s="4" t="s">
        <v>31</v>
      </c>
      <c r="B18" s="24">
        <f>860*9</f>
        <v>7740</v>
      </c>
      <c r="C18" s="25"/>
    </row>
    <row r="19" spans="1:4" ht="15.65" customHeight="1" x14ac:dyDescent="0.35">
      <c r="A19" s="23"/>
      <c r="B19" s="26">
        <f>SUM(B3:B18)</f>
        <v>705430</v>
      </c>
      <c r="C19" s="27">
        <f>SUM(C3:C18)</f>
        <v>705430</v>
      </c>
      <c r="D19" s="107"/>
    </row>
    <row r="20" spans="1:4" ht="15.65" customHeight="1" x14ac:dyDescent="0.35">
      <c r="A20" t="s">
        <v>81</v>
      </c>
      <c r="B20" s="106">
        <f>C13-SUM(B14:B18)</f>
        <v>34986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4637-4C65-4024-8200-7F62F4B7791E}">
  <dimension ref="A1:AD42"/>
  <sheetViews>
    <sheetView topLeftCell="A10" zoomScaleNormal="100" workbookViewId="0">
      <selection activeCell="F20" sqref="F20"/>
    </sheetView>
  </sheetViews>
  <sheetFormatPr defaultColWidth="8.90625" defaultRowHeight="14.5" x14ac:dyDescent="0.35"/>
  <cols>
    <col min="1" max="1" width="21.6328125" style="1" customWidth="1"/>
    <col min="2" max="2" width="17.453125" style="31" customWidth="1"/>
    <col min="3" max="3" width="2.36328125" style="31" customWidth="1"/>
    <col min="4" max="4" width="17.453125" style="31" customWidth="1"/>
    <col min="5" max="5" width="2.36328125" style="31" customWidth="1"/>
    <col min="6" max="6" width="17.453125" style="31" customWidth="1"/>
    <col min="7" max="7" width="11.81640625" style="1" bestFit="1" customWidth="1"/>
    <col min="8" max="8" width="5.08984375" style="1" customWidth="1"/>
    <col min="9" max="9" width="5.81640625" style="1" customWidth="1"/>
    <col min="10" max="10" width="26.1796875" style="31" customWidth="1"/>
    <col min="11" max="11" width="15" style="31" customWidth="1"/>
    <col min="12" max="12" width="16.54296875" style="1" customWidth="1"/>
    <col min="13" max="13" width="5.6328125" style="1" customWidth="1"/>
    <col min="14" max="14" width="41.81640625" style="58" customWidth="1"/>
    <col min="15" max="16" width="11" style="1" customWidth="1"/>
    <col min="17" max="17" width="6.36328125" style="1" customWidth="1"/>
    <col min="18" max="21" width="11" style="1" customWidth="1"/>
    <col min="22" max="22" width="6.1796875" style="58" customWidth="1"/>
    <col min="23" max="23" width="19.6328125" style="1" customWidth="1"/>
    <col min="24" max="24" width="13" style="1" customWidth="1"/>
    <col min="25" max="16384" width="8.90625" style="1"/>
  </cols>
  <sheetData>
    <row r="1" spans="1:24" ht="18.5" x14ac:dyDescent="0.45">
      <c r="A1" s="67" t="s">
        <v>38</v>
      </c>
      <c r="H1" s="67"/>
      <c r="I1" s="67"/>
      <c r="N1" s="67"/>
    </row>
    <row r="2" spans="1:24" x14ac:dyDescent="0.35">
      <c r="A2" s="6" t="s">
        <v>24</v>
      </c>
      <c r="B2" s="69"/>
      <c r="C2" s="69"/>
      <c r="D2" s="69"/>
      <c r="E2" s="69"/>
      <c r="F2" s="69"/>
      <c r="H2" s="6" t="s">
        <v>25</v>
      </c>
      <c r="I2" s="6"/>
      <c r="J2" s="69"/>
      <c r="K2" s="69"/>
      <c r="L2" s="7"/>
      <c r="N2" s="6" t="s">
        <v>83</v>
      </c>
      <c r="W2" s="6" t="s">
        <v>26</v>
      </c>
      <c r="X2" s="6"/>
    </row>
    <row r="3" spans="1:24" ht="14.5" customHeight="1" x14ac:dyDescent="0.35">
      <c r="A3" s="29" t="s">
        <v>36</v>
      </c>
      <c r="B3" s="12"/>
      <c r="C3" s="12"/>
      <c r="D3" s="12"/>
      <c r="E3" s="12"/>
      <c r="F3" s="78"/>
      <c r="H3" s="29" t="s">
        <v>14</v>
      </c>
      <c r="I3" s="30"/>
      <c r="J3" s="12"/>
      <c r="K3" s="10" t="s">
        <v>12</v>
      </c>
      <c r="L3" s="11" t="s">
        <v>13</v>
      </c>
      <c r="M3" s="34"/>
      <c r="N3" s="147" t="s">
        <v>84</v>
      </c>
      <c r="O3" s="147"/>
      <c r="P3" s="147"/>
      <c r="Q3" s="147"/>
      <c r="R3" s="147"/>
      <c r="S3" s="147"/>
      <c r="T3" s="147"/>
      <c r="U3" s="147"/>
      <c r="V3" s="70"/>
      <c r="W3" s="66" t="s">
        <v>10</v>
      </c>
      <c r="X3" s="74">
        <f>D22</f>
        <v>116350</v>
      </c>
    </row>
    <row r="4" spans="1:24" x14ac:dyDescent="0.35">
      <c r="A4" s="8"/>
      <c r="B4" s="9" t="s">
        <v>7</v>
      </c>
      <c r="C4" s="10" t="s">
        <v>34</v>
      </c>
      <c r="D4" s="10" t="s">
        <v>9</v>
      </c>
      <c r="E4" s="10" t="s">
        <v>35</v>
      </c>
      <c r="F4" s="11" t="s">
        <v>11</v>
      </c>
      <c r="H4" s="4"/>
      <c r="L4" s="32"/>
      <c r="M4" s="32"/>
      <c r="N4" s="148" t="s">
        <v>87</v>
      </c>
      <c r="O4" s="150" t="s">
        <v>100</v>
      </c>
      <c r="P4" s="151"/>
      <c r="Q4" s="152" t="s">
        <v>102</v>
      </c>
      <c r="R4" s="152"/>
      <c r="S4" s="153"/>
      <c r="T4" s="150" t="s">
        <v>101</v>
      </c>
      <c r="U4" s="151"/>
      <c r="W4" s="66" t="s">
        <v>8</v>
      </c>
      <c r="X4" s="74">
        <f>B22</f>
        <v>831396</v>
      </c>
    </row>
    <row r="5" spans="1:24" x14ac:dyDescent="0.35">
      <c r="A5" s="16" t="s">
        <v>104</v>
      </c>
      <c r="B5" s="17">
        <f>SUM('TB @ 30 Sept 2025'!B3:B6)</f>
        <v>528116</v>
      </c>
      <c r="C5" s="10" t="str">
        <f>C4</f>
        <v>=</v>
      </c>
      <c r="D5" s="18">
        <f>SUM('TB @ 30 Sept 2025'!C7:C9)</f>
        <v>87900</v>
      </c>
      <c r="E5" s="10" t="str">
        <f>E4</f>
        <v>+</v>
      </c>
      <c r="F5" s="19">
        <f>SUM('TB @ 30 Sept 2025'!C10:C18)-SUM('TB @ 30 Sept 2025'!B10:B18)</f>
        <v>440216</v>
      </c>
      <c r="G5" s="71">
        <f>B5-D5-F5</f>
        <v>0</v>
      </c>
      <c r="H5" s="33" t="s">
        <v>18</v>
      </c>
      <c r="I5" s="28" t="s">
        <v>1</v>
      </c>
      <c r="J5" s="34"/>
      <c r="K5" s="35">
        <v>250000</v>
      </c>
      <c r="L5" s="36"/>
      <c r="M5" s="36"/>
      <c r="N5" s="149"/>
      <c r="O5" s="82" t="s">
        <v>12</v>
      </c>
      <c r="P5" s="81" t="s">
        <v>13</v>
      </c>
      <c r="Q5" s="44" t="s">
        <v>45</v>
      </c>
      <c r="R5" s="44" t="s">
        <v>12</v>
      </c>
      <c r="S5" s="45" t="s">
        <v>13</v>
      </c>
      <c r="T5" s="80" t="s">
        <v>12</v>
      </c>
      <c r="U5" s="81" t="s">
        <v>13</v>
      </c>
      <c r="W5" s="23" t="s">
        <v>29</v>
      </c>
      <c r="X5" s="75">
        <f>X3/X4</f>
        <v>0.13994534493791166</v>
      </c>
    </row>
    <row r="6" spans="1:24" x14ac:dyDescent="0.35">
      <c r="A6" s="109" t="str">
        <f>H5</f>
        <v>(a)</v>
      </c>
      <c r="B6" s="13">
        <f>K5</f>
        <v>250000</v>
      </c>
      <c r="C6" s="12" t="str">
        <f t="shared" ref="C6:C21" si="0">C5</f>
        <v>=</v>
      </c>
      <c r="D6" s="14"/>
      <c r="E6" s="12" t="str">
        <f t="shared" ref="E6:E19" si="1">E5</f>
        <v>+</v>
      </c>
      <c r="F6" s="15">
        <f>L6</f>
        <v>250000</v>
      </c>
      <c r="G6" s="71"/>
      <c r="H6" s="37"/>
      <c r="I6" s="28"/>
      <c r="J6" s="28" t="s">
        <v>89</v>
      </c>
      <c r="K6" s="28"/>
      <c r="L6" s="38">
        <f>K5</f>
        <v>250000</v>
      </c>
      <c r="M6" s="35"/>
      <c r="N6" s="37" t="str">
        <f>'TB @ 30 Sept 2025'!A3</f>
        <v>Cash</v>
      </c>
      <c r="O6" s="46">
        <f>'TB @ 30 Sept 2025'!B3</f>
        <v>387216</v>
      </c>
      <c r="P6" s="47"/>
      <c r="Q6" s="48" t="str">
        <f>H5</f>
        <v>(a)</v>
      </c>
      <c r="R6" s="49">
        <f>K5</f>
        <v>250000</v>
      </c>
      <c r="S6" s="50"/>
      <c r="T6" s="35">
        <f>O6+SUM(R6:R15)-SUM(S6:S15)</f>
        <v>359516</v>
      </c>
      <c r="U6" s="36"/>
      <c r="V6" s="49"/>
      <c r="X6" s="31"/>
    </row>
    <row r="7" spans="1:24" x14ac:dyDescent="0.35">
      <c r="A7" s="109" t="str">
        <f>H8</f>
        <v>(b)</v>
      </c>
      <c r="B7" s="13">
        <f>K8</f>
        <v>30000</v>
      </c>
      <c r="C7" s="12" t="str">
        <f t="shared" si="0"/>
        <v>=</v>
      </c>
      <c r="D7" s="14">
        <f>L9</f>
        <v>30000</v>
      </c>
      <c r="E7" s="12" t="str">
        <f t="shared" si="1"/>
        <v>+</v>
      </c>
      <c r="F7" s="15"/>
      <c r="G7" s="71"/>
      <c r="H7" s="37"/>
      <c r="I7" s="28"/>
      <c r="J7" s="28"/>
      <c r="K7" s="28"/>
      <c r="L7" s="36"/>
      <c r="M7" s="28"/>
      <c r="N7" s="51"/>
      <c r="O7" s="37"/>
      <c r="P7" s="36"/>
      <c r="Q7" s="48" t="str">
        <f>H8</f>
        <v>(b)</v>
      </c>
      <c r="R7" s="49">
        <f>K8</f>
        <v>30000</v>
      </c>
      <c r="S7" s="52"/>
      <c r="T7" s="28"/>
      <c r="U7" s="36"/>
      <c r="W7" s="1" t="s">
        <v>76</v>
      </c>
      <c r="X7" s="128">
        <f>'TB @ 31 Dec 2024'!B13</f>
        <v>473830</v>
      </c>
    </row>
    <row r="8" spans="1:24" x14ac:dyDescent="0.35">
      <c r="A8" s="109" t="str">
        <f>H11</f>
        <v xml:space="preserve">(c) </v>
      </c>
      <c r="B8" s="13">
        <f>K11</f>
        <v>65000</v>
      </c>
      <c r="C8" s="12" t="str">
        <f t="shared" si="0"/>
        <v>=</v>
      </c>
      <c r="D8" s="14"/>
      <c r="E8" s="12" t="str">
        <f t="shared" si="1"/>
        <v>+</v>
      </c>
      <c r="F8" s="15"/>
      <c r="G8" s="71"/>
      <c r="H8" s="37" t="s">
        <v>19</v>
      </c>
      <c r="I8" s="28" t="s">
        <v>1</v>
      </c>
      <c r="J8" s="28"/>
      <c r="K8" s="35">
        <v>30000</v>
      </c>
      <c r="L8" s="36"/>
      <c r="M8" s="28"/>
      <c r="N8" s="51"/>
      <c r="O8" s="37"/>
      <c r="P8" s="36"/>
      <c r="Q8" s="48" t="str">
        <f>H11</f>
        <v xml:space="preserve">(c) </v>
      </c>
      <c r="R8" s="49"/>
      <c r="S8" s="52">
        <f>L12</f>
        <v>65000</v>
      </c>
      <c r="T8" s="28"/>
      <c r="U8" s="36"/>
    </row>
    <row r="9" spans="1:24" x14ac:dyDescent="0.35">
      <c r="A9" s="109"/>
      <c r="B9" s="13">
        <f>-L12</f>
        <v>-65000</v>
      </c>
      <c r="C9" s="12" t="str">
        <f t="shared" si="0"/>
        <v>=</v>
      </c>
      <c r="D9" s="14"/>
      <c r="E9" s="12" t="str">
        <f t="shared" si="1"/>
        <v>+</v>
      </c>
      <c r="F9" s="15"/>
      <c r="G9" s="71"/>
      <c r="H9" s="37"/>
      <c r="I9" s="28"/>
      <c r="J9" s="28" t="s">
        <v>97</v>
      </c>
      <c r="K9" s="28"/>
      <c r="L9" s="38">
        <f>K8</f>
        <v>30000</v>
      </c>
      <c r="M9" s="28"/>
      <c r="N9" s="51"/>
      <c r="O9" s="37"/>
      <c r="P9" s="36"/>
      <c r="Q9" s="48" t="str">
        <f>H14</f>
        <v>(d)</v>
      </c>
      <c r="R9" s="49">
        <f>K14</f>
        <v>35000</v>
      </c>
      <c r="S9" s="52"/>
      <c r="T9" s="28"/>
      <c r="U9" s="36"/>
      <c r="V9" s="49"/>
      <c r="W9" s="66" t="s">
        <v>86</v>
      </c>
      <c r="X9" s="74">
        <f>U30-(SUM(T31:T35))</f>
        <v>59816</v>
      </c>
    </row>
    <row r="10" spans="1:24" x14ac:dyDescent="0.35">
      <c r="A10" s="109" t="str">
        <f>H14</f>
        <v>(d)</v>
      </c>
      <c r="B10" s="13">
        <f>K14</f>
        <v>35000</v>
      </c>
      <c r="C10" s="12" t="str">
        <f>C8</f>
        <v>=</v>
      </c>
      <c r="D10" s="14"/>
      <c r="E10" s="12" t="str">
        <f>E8</f>
        <v>+</v>
      </c>
      <c r="F10" s="15">
        <f>L16</f>
        <v>96000</v>
      </c>
      <c r="G10" s="71"/>
      <c r="H10" s="37"/>
      <c r="I10" s="28"/>
      <c r="J10" s="28"/>
      <c r="K10" s="28"/>
      <c r="L10" s="36"/>
      <c r="M10" s="28"/>
      <c r="N10" s="51"/>
      <c r="O10" s="37"/>
      <c r="P10" s="36"/>
      <c r="Q10" s="48" t="str">
        <f>H21</f>
        <v xml:space="preserve">(e) </v>
      </c>
      <c r="R10" s="53">
        <f>K21</f>
        <v>64300</v>
      </c>
      <c r="S10" s="52"/>
      <c r="T10" s="28"/>
      <c r="U10" s="36"/>
      <c r="W10" s="66" t="s">
        <v>78</v>
      </c>
      <c r="X10" s="74">
        <f>(X4+X7)/2</f>
        <v>652613</v>
      </c>
    </row>
    <row r="11" spans="1:24" x14ac:dyDescent="0.35">
      <c r="A11" s="109"/>
      <c r="B11" s="13">
        <f>K15</f>
        <v>61000</v>
      </c>
      <c r="C11" s="12"/>
      <c r="D11" s="14"/>
      <c r="E11" s="12"/>
      <c r="F11" s="15"/>
      <c r="G11" s="71"/>
      <c r="H11" s="39" t="s">
        <v>20</v>
      </c>
      <c r="I11" s="28" t="s">
        <v>3</v>
      </c>
      <c r="J11" s="28"/>
      <c r="K11" s="35">
        <v>65000</v>
      </c>
      <c r="L11" s="36"/>
      <c r="M11" s="28"/>
      <c r="N11" s="51"/>
      <c r="O11" s="37"/>
      <c r="P11" s="36"/>
      <c r="Q11" s="48" t="str">
        <f>H24</f>
        <v>(f)</v>
      </c>
      <c r="S11" s="52">
        <f>L25</f>
        <v>22300</v>
      </c>
      <c r="T11" s="28"/>
      <c r="U11" s="36"/>
      <c r="W11" s="23" t="s">
        <v>75</v>
      </c>
      <c r="X11" s="75">
        <f>X9/X10</f>
        <v>9.1656157630939011E-2</v>
      </c>
    </row>
    <row r="12" spans="1:24" x14ac:dyDescent="0.35">
      <c r="A12" s="110"/>
      <c r="B12" s="13">
        <f>-L19</f>
        <v>-30720</v>
      </c>
      <c r="C12" s="12" t="str">
        <f>C10</f>
        <v>=</v>
      </c>
      <c r="D12" s="14"/>
      <c r="E12" s="12" t="str">
        <f>E10</f>
        <v>+</v>
      </c>
      <c r="F12" s="15">
        <f>-K18</f>
        <v>-30720</v>
      </c>
      <c r="G12" s="71"/>
      <c r="H12" s="37"/>
      <c r="I12" s="28"/>
      <c r="J12" s="28" t="s">
        <v>82</v>
      </c>
      <c r="K12" s="28"/>
      <c r="L12" s="38">
        <f>K11</f>
        <v>65000</v>
      </c>
      <c r="M12" s="35"/>
      <c r="N12" s="51"/>
      <c r="O12" s="37"/>
      <c r="P12" s="36"/>
      <c r="Q12" s="48" t="str">
        <f>H27</f>
        <v>(g)</v>
      </c>
      <c r="S12" s="52">
        <f>L28</f>
        <v>19200</v>
      </c>
      <c r="T12" s="28"/>
      <c r="U12" s="36"/>
      <c r="V12" s="49"/>
    </row>
    <row r="13" spans="1:24" x14ac:dyDescent="0.35">
      <c r="A13" s="110" t="str">
        <f>H21</f>
        <v xml:space="preserve">(e) </v>
      </c>
      <c r="B13" s="13">
        <f>K21</f>
        <v>64300</v>
      </c>
      <c r="C13" s="12" t="str">
        <f t="shared" si="0"/>
        <v>=</v>
      </c>
      <c r="D13" s="14"/>
      <c r="E13" s="12" t="str">
        <f t="shared" si="1"/>
        <v>+</v>
      </c>
      <c r="F13" s="68"/>
      <c r="G13" s="71"/>
      <c r="H13" s="37"/>
      <c r="I13" s="28"/>
      <c r="J13" s="28"/>
      <c r="K13" s="28"/>
      <c r="L13" s="36"/>
      <c r="M13" s="28"/>
      <c r="N13" s="79"/>
      <c r="O13" s="37"/>
      <c r="P13" s="36"/>
      <c r="Q13" s="48" t="str">
        <f>H30</f>
        <v>(h)</v>
      </c>
      <c r="R13" s="53"/>
      <c r="S13" s="52">
        <f>L31</f>
        <v>300000</v>
      </c>
      <c r="T13" s="28"/>
      <c r="U13" s="36"/>
    </row>
    <row r="14" spans="1:24" x14ac:dyDescent="0.35">
      <c r="A14" s="110"/>
      <c r="B14" s="13">
        <f>-L22</f>
        <v>-64300</v>
      </c>
      <c r="C14" s="12" t="str">
        <f t="shared" si="0"/>
        <v>=</v>
      </c>
      <c r="D14" s="14"/>
      <c r="E14" s="12" t="str">
        <f t="shared" si="1"/>
        <v>+</v>
      </c>
      <c r="F14" s="68"/>
      <c r="G14" s="71"/>
      <c r="H14" s="33" t="s">
        <v>21</v>
      </c>
      <c r="I14" s="28" t="s">
        <v>1</v>
      </c>
      <c r="J14" s="28"/>
      <c r="K14" s="35">
        <v>35000</v>
      </c>
      <c r="L14" s="36"/>
      <c r="M14" s="28"/>
      <c r="N14" s="79"/>
      <c r="O14" s="37"/>
      <c r="P14" s="36"/>
      <c r="Q14" s="48" t="str">
        <f>H33</f>
        <v>(i)</v>
      </c>
      <c r="R14" s="53"/>
      <c r="S14" s="52">
        <f>L34</f>
        <v>5500</v>
      </c>
      <c r="T14" s="28"/>
      <c r="U14" s="36"/>
    </row>
    <row r="15" spans="1:24" x14ac:dyDescent="0.35">
      <c r="A15" s="110" t="str">
        <f>H24</f>
        <v>(f)</v>
      </c>
      <c r="B15" s="13">
        <f>-L25</f>
        <v>-22300</v>
      </c>
      <c r="C15" s="12" t="str">
        <f t="shared" si="0"/>
        <v>=</v>
      </c>
      <c r="D15" s="14"/>
      <c r="E15" s="12" t="str">
        <f t="shared" si="1"/>
        <v>+</v>
      </c>
      <c r="F15" s="15">
        <f>-K24</f>
        <v>-22300</v>
      </c>
      <c r="G15" s="71"/>
      <c r="H15" s="37"/>
      <c r="I15" s="28" t="s">
        <v>37</v>
      </c>
      <c r="J15" s="28"/>
      <c r="K15" s="35">
        <f>L16-K14</f>
        <v>61000</v>
      </c>
      <c r="L15" s="38"/>
      <c r="M15" s="35"/>
      <c r="N15" s="51"/>
      <c r="O15" s="37"/>
      <c r="P15" s="36"/>
      <c r="Q15" s="48" t="str">
        <f>H36</f>
        <v>(j)</v>
      </c>
      <c r="R15" s="53">
        <f>K36</f>
        <v>5000</v>
      </c>
      <c r="S15" s="52"/>
      <c r="T15" s="28"/>
      <c r="U15" s="36"/>
      <c r="V15" s="49"/>
    </row>
    <row r="16" spans="1:24" x14ac:dyDescent="0.35">
      <c r="A16" s="110" t="str">
        <f>H27</f>
        <v>(g)</v>
      </c>
      <c r="B16" s="13">
        <f>-L28</f>
        <v>-19200</v>
      </c>
      <c r="C16" s="12" t="str">
        <f t="shared" si="0"/>
        <v>=</v>
      </c>
      <c r="D16" s="14">
        <f>-K27</f>
        <v>-19200</v>
      </c>
      <c r="E16" s="12" t="str">
        <f t="shared" si="1"/>
        <v>+</v>
      </c>
      <c r="F16" s="68"/>
      <c r="G16" s="71"/>
      <c r="H16" s="37"/>
      <c r="I16" s="28"/>
      <c r="J16" s="28" t="s">
        <v>49</v>
      </c>
      <c r="K16" s="28"/>
      <c r="L16" s="38">
        <v>96000</v>
      </c>
      <c r="M16" s="28"/>
      <c r="N16" s="37" t="str">
        <f>'TB @ 30 Sept 2025'!A4</f>
        <v>Accounts Receivable</v>
      </c>
      <c r="O16" s="46">
        <f>'TB @ 30 Sept 2025'!B4</f>
        <v>37100</v>
      </c>
      <c r="P16" s="47"/>
      <c r="Q16" s="48" t="str">
        <f>H14</f>
        <v>(d)</v>
      </c>
      <c r="R16" s="49">
        <f>K15</f>
        <v>61000</v>
      </c>
      <c r="S16" s="54"/>
      <c r="T16" s="35">
        <f>O16+SUM(R16:R17)-SUM(S16:S17)</f>
        <v>33800</v>
      </c>
      <c r="U16" s="36"/>
      <c r="V16" s="49"/>
    </row>
    <row r="17" spans="1:30" x14ac:dyDescent="0.35">
      <c r="A17" s="110" t="str">
        <f>H30</f>
        <v>(h)</v>
      </c>
      <c r="B17" s="13">
        <f>K30</f>
        <v>300000</v>
      </c>
      <c r="C17" s="12" t="str">
        <f t="shared" si="0"/>
        <v>=</v>
      </c>
      <c r="D17" s="14"/>
      <c r="E17" s="12" t="str">
        <f t="shared" si="1"/>
        <v>+</v>
      </c>
      <c r="F17" s="68"/>
      <c r="G17" s="71"/>
      <c r="H17" s="37"/>
      <c r="I17" s="28"/>
      <c r="J17" s="28"/>
      <c r="K17" s="28"/>
      <c r="L17" s="36"/>
      <c r="M17" s="28"/>
      <c r="N17" s="37"/>
      <c r="O17" s="46"/>
      <c r="P17" s="47"/>
      <c r="Q17" s="48" t="str">
        <f>H21</f>
        <v xml:space="preserve">(e) </v>
      </c>
      <c r="R17" s="49"/>
      <c r="S17" s="54">
        <f>L22</f>
        <v>64300</v>
      </c>
      <c r="T17" s="35"/>
      <c r="U17" s="36"/>
      <c r="V17" s="49"/>
      <c r="W17" s="115"/>
    </row>
    <row r="18" spans="1:30" x14ac:dyDescent="0.35">
      <c r="A18" s="110"/>
      <c r="B18" s="13">
        <f>-L31</f>
        <v>-300000</v>
      </c>
      <c r="C18" s="12" t="str">
        <f t="shared" si="0"/>
        <v>=</v>
      </c>
      <c r="D18" s="14"/>
      <c r="E18" s="12" t="str">
        <f t="shared" si="1"/>
        <v>+</v>
      </c>
      <c r="F18" s="68"/>
      <c r="G18" s="71"/>
      <c r="H18" s="39"/>
      <c r="I18" s="28" t="s">
        <v>4</v>
      </c>
      <c r="J18" s="28"/>
      <c r="K18" s="35">
        <f>L16*0.32</f>
        <v>30720</v>
      </c>
      <c r="L18" s="36"/>
      <c r="M18" s="35"/>
      <c r="N18" s="37" t="str">
        <f>'TB @ 30 Sept 2025'!A5</f>
        <v>Prepaid Rent</v>
      </c>
      <c r="O18" s="46">
        <f>'TB @ 30 Sept 2025'!B5</f>
        <v>19800</v>
      </c>
      <c r="P18" s="47"/>
      <c r="Q18" s="48"/>
      <c r="R18" s="49"/>
      <c r="S18" s="54"/>
      <c r="T18" s="35">
        <f>O18+R18-S18</f>
        <v>19800</v>
      </c>
      <c r="U18" s="36"/>
      <c r="W18" s="115"/>
      <c r="AD18" s="53"/>
    </row>
    <row r="19" spans="1:30" x14ac:dyDescent="0.35">
      <c r="A19" s="110" t="str">
        <f>H33</f>
        <v>(i)</v>
      </c>
      <c r="B19" s="13">
        <v>-5500</v>
      </c>
      <c r="C19" s="12" t="str">
        <f t="shared" si="0"/>
        <v>=</v>
      </c>
      <c r="D19" s="14"/>
      <c r="E19" s="12" t="str">
        <f t="shared" si="1"/>
        <v>+</v>
      </c>
      <c r="F19" s="15">
        <f>-K33</f>
        <v>-5500</v>
      </c>
      <c r="G19" s="71"/>
      <c r="H19" s="37"/>
      <c r="I19" s="28"/>
      <c r="J19" s="28" t="s">
        <v>3</v>
      </c>
      <c r="K19" s="28"/>
      <c r="L19" s="38">
        <f>K18</f>
        <v>30720</v>
      </c>
      <c r="M19" s="35"/>
      <c r="N19" s="37" t="str">
        <f>'TB @ 30 Sept 2025'!A6</f>
        <v>Inventory</v>
      </c>
      <c r="O19" s="46">
        <f>'TB @ 30 Sept 2025'!B6</f>
        <v>84000</v>
      </c>
      <c r="P19" s="47"/>
      <c r="Q19" s="48" t="str">
        <f>H11</f>
        <v xml:space="preserve">(c) </v>
      </c>
      <c r="R19" s="49">
        <f>K11</f>
        <v>65000</v>
      </c>
      <c r="S19" s="54"/>
      <c r="T19" s="35">
        <f>O19+SUM(R19:R20)-SUM(S19:S20)</f>
        <v>118280</v>
      </c>
      <c r="U19" s="38"/>
      <c r="W19" s="116"/>
    </row>
    <row r="20" spans="1:30" x14ac:dyDescent="0.35">
      <c r="A20" s="112" t="str">
        <f>H36</f>
        <v>(j)</v>
      </c>
      <c r="B20" s="13">
        <f>K36</f>
        <v>5000</v>
      </c>
      <c r="C20" s="12" t="str">
        <f t="shared" si="0"/>
        <v>=</v>
      </c>
      <c r="D20" s="14">
        <f>L37</f>
        <v>5000</v>
      </c>
      <c r="E20" s="12"/>
      <c r="F20" s="15"/>
      <c r="H20" s="37"/>
      <c r="I20" s="28"/>
      <c r="J20" s="28"/>
      <c r="K20" s="28"/>
      <c r="L20" s="38"/>
      <c r="M20" s="35"/>
      <c r="N20" s="37"/>
      <c r="O20" s="46"/>
      <c r="P20" s="47"/>
      <c r="Q20" s="48" t="str">
        <f>H14</f>
        <v>(d)</v>
      </c>
      <c r="R20" s="49"/>
      <c r="S20" s="54">
        <f>L19</f>
        <v>30720</v>
      </c>
      <c r="T20" s="35"/>
      <c r="U20" s="38"/>
      <c r="V20" s="49"/>
      <c r="W20" s="134"/>
      <c r="AA20" s="53"/>
    </row>
    <row r="21" spans="1:30" x14ac:dyDescent="0.35">
      <c r="A21" s="112" t="str">
        <f>H39</f>
        <v>(k)</v>
      </c>
      <c r="B21" s="13"/>
      <c r="C21" s="12" t="str">
        <f t="shared" si="0"/>
        <v>=</v>
      </c>
      <c r="D21" s="14">
        <f>L40</f>
        <v>12650</v>
      </c>
      <c r="E21" s="12"/>
      <c r="F21" s="15">
        <f>-K39</f>
        <v>-12650</v>
      </c>
      <c r="H21" s="37" t="s">
        <v>22</v>
      </c>
      <c r="I21" s="28" t="s">
        <v>1</v>
      </c>
      <c r="J21" s="28"/>
      <c r="K21" s="35">
        <v>64300</v>
      </c>
      <c r="L21" s="38"/>
      <c r="M21" s="35"/>
      <c r="N21" s="37" t="s">
        <v>105</v>
      </c>
      <c r="O21" s="46">
        <v>0</v>
      </c>
      <c r="P21" s="47"/>
      <c r="Q21" s="48" t="str">
        <f>H30</f>
        <v>(h)</v>
      </c>
      <c r="R21" s="49">
        <f>K30</f>
        <v>300000</v>
      </c>
      <c r="S21" s="50"/>
      <c r="T21" s="35">
        <f>O21+R21-S21</f>
        <v>300000</v>
      </c>
      <c r="U21" s="36"/>
      <c r="W21" s="115"/>
    </row>
    <row r="22" spans="1:30" x14ac:dyDescent="0.35">
      <c r="A22" s="20" t="s">
        <v>103</v>
      </c>
      <c r="B22" s="17">
        <f>SUM(B5:B21)</f>
        <v>831396</v>
      </c>
      <c r="C22" s="111" t="s">
        <v>34</v>
      </c>
      <c r="D22" s="18">
        <f>SUM(D5:D21)</f>
        <v>116350</v>
      </c>
      <c r="E22" s="111" t="s">
        <v>35</v>
      </c>
      <c r="F22" s="19">
        <f>SUM(F5:F21)</f>
        <v>715046</v>
      </c>
      <c r="G22" s="142"/>
      <c r="H22" s="37"/>
      <c r="I22" s="28"/>
      <c r="J22" s="28" t="s">
        <v>37</v>
      </c>
      <c r="K22" s="28"/>
      <c r="L22" s="38">
        <f>K21</f>
        <v>64300</v>
      </c>
      <c r="M22" s="28"/>
      <c r="N22" s="37" t="str">
        <f>'TB @ 30 Sept 2025'!A7</f>
        <v>Accounts Payable</v>
      </c>
      <c r="O22" s="46"/>
      <c r="P22" s="56">
        <f>'TB @ 30 Sept 2025'!C7</f>
        <v>23400</v>
      </c>
      <c r="Q22" s="48" t="str">
        <f>H27</f>
        <v>(g)</v>
      </c>
      <c r="R22" s="49">
        <f>K27</f>
        <v>19200</v>
      </c>
      <c r="S22" s="54"/>
      <c r="T22" s="35"/>
      <c r="U22" s="38">
        <f>P22+SUM(S22:S23)-SUM(R22:R23)</f>
        <v>16850</v>
      </c>
      <c r="W22" s="115"/>
    </row>
    <row r="23" spans="1:30" x14ac:dyDescent="0.35">
      <c r="A23" s="72"/>
      <c r="H23" s="33"/>
      <c r="I23" s="28"/>
      <c r="J23" s="28"/>
      <c r="K23" s="35"/>
      <c r="L23" s="36"/>
      <c r="M23" s="35"/>
      <c r="N23" s="37"/>
      <c r="O23" s="46"/>
      <c r="P23" s="56"/>
      <c r="Q23" s="48" t="str">
        <f>H39</f>
        <v>(k)</v>
      </c>
      <c r="R23" s="49"/>
      <c r="S23" s="54">
        <f>L40</f>
        <v>12650</v>
      </c>
      <c r="T23" s="28"/>
      <c r="U23" s="38"/>
      <c r="V23" s="49"/>
      <c r="W23" s="115"/>
    </row>
    <row r="24" spans="1:30" x14ac:dyDescent="0.35">
      <c r="A24" s="137" t="s">
        <v>125</v>
      </c>
      <c r="B24" s="138">
        <f>SUM(T6:T21)</f>
        <v>831396</v>
      </c>
      <c r="C24" s="139"/>
      <c r="D24" s="138">
        <f>SUM(U22:U26)</f>
        <v>116350</v>
      </c>
      <c r="E24" s="139"/>
      <c r="F24" s="138">
        <f>SUM(U27:U36)-SUM(T27:T36)</f>
        <v>715046</v>
      </c>
      <c r="H24" s="40" t="s">
        <v>32</v>
      </c>
      <c r="I24" s="28" t="s">
        <v>16</v>
      </c>
      <c r="J24" s="28"/>
      <c r="K24" s="35">
        <v>22300</v>
      </c>
      <c r="L24" s="38"/>
      <c r="M24" s="35"/>
      <c r="N24" s="37" t="str">
        <f>'TB @ 30 Sept 2025'!A8</f>
        <v>Unearned Revenue</v>
      </c>
      <c r="O24" s="46"/>
      <c r="P24" s="56">
        <f>'TB @ 30 Sept 2025'!C8</f>
        <v>14500</v>
      </c>
      <c r="Q24" s="48" t="str">
        <f>H36</f>
        <v>(j)</v>
      </c>
      <c r="R24" s="49"/>
      <c r="S24" s="54">
        <f>L37</f>
        <v>5000</v>
      </c>
      <c r="T24" s="28"/>
      <c r="U24" s="38">
        <f t="shared" ref="U24:U30" si="2">P24+S24-R24</f>
        <v>19500</v>
      </c>
      <c r="W24" s="115"/>
    </row>
    <row r="25" spans="1:30" x14ac:dyDescent="0.35">
      <c r="A25" s="140"/>
      <c r="B25" s="138">
        <f>B22-B24</f>
        <v>0</v>
      </c>
      <c r="C25" s="140"/>
      <c r="D25" s="138">
        <f>D22-D24</f>
        <v>0</v>
      </c>
      <c r="E25" s="141"/>
      <c r="F25" s="138">
        <f>F22-F24</f>
        <v>0</v>
      </c>
      <c r="H25" s="37"/>
      <c r="I25" s="28"/>
      <c r="J25" s="28" t="s">
        <v>1</v>
      </c>
      <c r="K25" s="28"/>
      <c r="L25" s="38">
        <f>K24</f>
        <v>22300</v>
      </c>
      <c r="M25" s="28"/>
      <c r="N25" s="37" t="s">
        <v>97</v>
      </c>
      <c r="O25" s="46"/>
      <c r="P25" s="56">
        <v>0</v>
      </c>
      <c r="Q25" s="48" t="str">
        <f>H8</f>
        <v>(b)</v>
      </c>
      <c r="R25" s="49"/>
      <c r="S25" s="54">
        <f>L9</f>
        <v>30000</v>
      </c>
      <c r="T25" s="28"/>
      <c r="U25" s="38">
        <f t="shared" si="2"/>
        <v>30000</v>
      </c>
      <c r="W25" s="130"/>
      <c r="X25" s="131"/>
      <c r="Y25" s="114"/>
    </row>
    <row r="26" spans="1:30" x14ac:dyDescent="0.35">
      <c r="D26" s="73"/>
      <c r="E26" s="73"/>
      <c r="F26" s="73"/>
      <c r="H26" s="33"/>
      <c r="I26" s="28"/>
      <c r="J26" s="28"/>
      <c r="K26" s="28"/>
      <c r="L26" s="36"/>
      <c r="M26" s="35"/>
      <c r="N26" s="37" t="str">
        <f>'TB @ 30 Sept 2025'!A9</f>
        <v>Long-term Debt</v>
      </c>
      <c r="O26" s="46"/>
      <c r="P26" s="56">
        <f>'TB @ 30 Sept 2025'!C9</f>
        <v>50000</v>
      </c>
      <c r="Q26" s="48"/>
      <c r="R26" s="58"/>
      <c r="S26" s="54"/>
      <c r="T26" s="35"/>
      <c r="U26" s="38">
        <f t="shared" si="2"/>
        <v>50000</v>
      </c>
      <c r="W26" s="130"/>
      <c r="Y26" s="133"/>
      <c r="AA26" s="132"/>
    </row>
    <row r="27" spans="1:30" x14ac:dyDescent="0.35">
      <c r="H27" s="37" t="s">
        <v>23</v>
      </c>
      <c r="I27" s="28" t="s">
        <v>6</v>
      </c>
      <c r="J27" s="28"/>
      <c r="K27" s="35">
        <v>19200</v>
      </c>
      <c r="L27" s="38"/>
      <c r="M27" s="35"/>
      <c r="N27" s="37" t="str">
        <f>'TB @ 30 Sept 2025'!A10</f>
        <v>Share Capital - Ordinary Shares</v>
      </c>
      <c r="O27" s="46"/>
      <c r="P27" s="56">
        <f>'TB @ 30 Sept 2025'!C10</f>
        <v>200000</v>
      </c>
      <c r="Q27" s="48" t="str">
        <f>Q6</f>
        <v>(a)</v>
      </c>
      <c r="R27" s="58"/>
      <c r="S27" s="54">
        <f>L6</f>
        <v>250000</v>
      </c>
      <c r="T27" s="28"/>
      <c r="U27" s="38">
        <f t="shared" si="2"/>
        <v>450000</v>
      </c>
      <c r="W27" s="115"/>
    </row>
    <row r="28" spans="1:30" x14ac:dyDescent="0.35">
      <c r="H28" s="37"/>
      <c r="I28" s="28"/>
      <c r="J28" s="28" t="s">
        <v>1</v>
      </c>
      <c r="K28" s="28"/>
      <c r="L28" s="38">
        <f>K27</f>
        <v>19200</v>
      </c>
      <c r="M28" s="28"/>
      <c r="N28" s="37" t="str">
        <f>'TB @ 30 Sept 2025'!A11</f>
        <v>Share Capital - Preference Shares (cumulative)</v>
      </c>
      <c r="O28" s="46"/>
      <c r="P28" s="56">
        <f>'TB @ 30 Sept 2025'!C11</f>
        <v>200000</v>
      </c>
      <c r="Q28" s="48"/>
      <c r="R28" s="58"/>
      <c r="S28" s="54"/>
      <c r="T28" s="28"/>
      <c r="U28" s="38">
        <f t="shared" si="2"/>
        <v>200000</v>
      </c>
    </row>
    <row r="29" spans="1:30" x14ac:dyDescent="0.35">
      <c r="H29" s="33"/>
      <c r="I29" s="28"/>
      <c r="J29" s="28"/>
      <c r="K29" s="35"/>
      <c r="L29" s="36"/>
      <c r="M29" s="35"/>
      <c r="N29" s="37" t="str">
        <f>'TB @ 30 Sept 2025'!A12</f>
        <v>Retained Earnings  (@ 31 Dec 2024)</v>
      </c>
      <c r="O29" s="46"/>
      <c r="P29" s="56">
        <f>'TB @ 30 Sept 2025'!C12</f>
        <v>5230</v>
      </c>
      <c r="Q29" s="48"/>
      <c r="R29" s="58"/>
      <c r="S29" s="50"/>
      <c r="T29" s="35"/>
      <c r="U29" s="38">
        <f t="shared" si="2"/>
        <v>5230</v>
      </c>
    </row>
    <row r="30" spans="1:30" x14ac:dyDescent="0.35">
      <c r="H30" s="37" t="s">
        <v>33</v>
      </c>
      <c r="I30" s="28" t="s">
        <v>105</v>
      </c>
      <c r="J30" s="28"/>
      <c r="K30" s="35">
        <v>300000</v>
      </c>
      <c r="L30" s="38"/>
      <c r="M30" s="35"/>
      <c r="N30" s="37" t="str">
        <f>'TB @ 30 Sept 2025'!A13</f>
        <v>Sales Revenue</v>
      </c>
      <c r="O30" s="46"/>
      <c r="P30" s="56">
        <f>'TB @ 30 Sept 2025'!C13</f>
        <v>212300</v>
      </c>
      <c r="Q30" s="48" t="str">
        <f>Q16</f>
        <v>(d)</v>
      </c>
      <c r="R30" s="58"/>
      <c r="S30" s="54">
        <f>L16</f>
        <v>96000</v>
      </c>
      <c r="T30" s="28"/>
      <c r="U30" s="38">
        <f t="shared" si="2"/>
        <v>308300</v>
      </c>
    </row>
    <row r="31" spans="1:30" x14ac:dyDescent="0.35">
      <c r="H31" s="37"/>
      <c r="I31" s="28"/>
      <c r="J31" s="28" t="s">
        <v>1</v>
      </c>
      <c r="K31" s="28"/>
      <c r="L31" s="38">
        <f>K30</f>
        <v>300000</v>
      </c>
      <c r="M31" s="28"/>
      <c r="N31" s="37" t="str">
        <f>'TB @ 30 Sept 2025'!A14</f>
        <v>Cost of Goods Sold</v>
      </c>
      <c r="O31" s="46">
        <f>'TB @ 30 Sept 2025'!B14</f>
        <v>80674</v>
      </c>
      <c r="P31" s="47"/>
      <c r="Q31" s="48" t="str">
        <f>Q30</f>
        <v>(d)</v>
      </c>
      <c r="R31" s="49">
        <f>K18</f>
        <v>30720</v>
      </c>
      <c r="S31" s="50"/>
      <c r="T31" s="35">
        <f>O31+R31-S31</f>
        <v>111394</v>
      </c>
      <c r="U31" s="38"/>
      <c r="W31" s="53"/>
    </row>
    <row r="32" spans="1:30" x14ac:dyDescent="0.35">
      <c r="H32" s="33"/>
      <c r="I32" s="28"/>
      <c r="J32" s="28"/>
      <c r="K32" s="35"/>
      <c r="L32" s="36"/>
      <c r="M32" s="35"/>
      <c r="N32" s="37" t="str">
        <f>'TB @ 30 Sept 2025'!A15</f>
        <v>Rent Expense</v>
      </c>
      <c r="O32" s="46">
        <f>'TB @ 30 Sept 2025'!B15</f>
        <v>6600</v>
      </c>
      <c r="P32" s="56"/>
      <c r="Q32" s="48"/>
      <c r="R32" s="49"/>
      <c r="S32" s="50"/>
      <c r="T32" s="35">
        <f>O32+R32-S32</f>
        <v>6600</v>
      </c>
      <c r="U32" s="38"/>
      <c r="V32" s="49"/>
    </row>
    <row r="33" spans="8:22" x14ac:dyDescent="0.35">
      <c r="H33" s="37" t="s">
        <v>71</v>
      </c>
      <c r="I33" s="28" t="s">
        <v>30</v>
      </c>
      <c r="J33" s="28"/>
      <c r="K33" s="35">
        <v>5500</v>
      </c>
      <c r="L33" s="38"/>
      <c r="M33" s="28"/>
      <c r="N33" s="37" t="str">
        <f>'TB @ 30 Sept 2025'!A16</f>
        <v>Marketing Expense</v>
      </c>
      <c r="O33" s="46">
        <f>'TB @ 30 Sept 2025'!B16</f>
        <v>13000</v>
      </c>
      <c r="P33" s="47"/>
      <c r="Q33" s="48" t="str">
        <f>H33</f>
        <v>(i)</v>
      </c>
      <c r="R33" s="49">
        <f>K33</f>
        <v>5500</v>
      </c>
      <c r="S33" s="50"/>
      <c r="T33" s="35">
        <f>O33+R33-S33</f>
        <v>18500</v>
      </c>
      <c r="U33" s="38"/>
    </row>
    <row r="34" spans="8:22" x14ac:dyDescent="0.35">
      <c r="H34" s="4"/>
      <c r="J34" s="28" t="s">
        <v>1</v>
      </c>
      <c r="L34" s="38">
        <f>K33</f>
        <v>5500</v>
      </c>
      <c r="N34" s="37" t="str">
        <f>'TB @ 30 Sept 2025'!A17</f>
        <v>Salaries Expense</v>
      </c>
      <c r="O34" s="46">
        <f>'TB @ 30 Sept 2025'!B17</f>
        <v>69300</v>
      </c>
      <c r="P34" s="47"/>
      <c r="Q34" s="48" t="str">
        <f>H24</f>
        <v>(f)</v>
      </c>
      <c r="R34" s="49">
        <f>K24</f>
        <v>22300</v>
      </c>
      <c r="S34" s="50"/>
      <c r="T34" s="35">
        <f>O34+R34-S34</f>
        <v>91600</v>
      </c>
      <c r="U34" s="38"/>
    </row>
    <row r="35" spans="8:22" x14ac:dyDescent="0.35">
      <c r="H35" s="4"/>
      <c r="J35" s="28"/>
      <c r="L35" s="38"/>
      <c r="M35" s="108"/>
      <c r="N35" s="37" t="str">
        <f>'TB @ 30 Sept 2025'!A18</f>
        <v>General Admin Expense</v>
      </c>
      <c r="O35" s="46">
        <f>'TB @ 30 Sept 2025'!B18</f>
        <v>7740</v>
      </c>
      <c r="P35" s="47"/>
      <c r="Q35" s="48" t="str">
        <f>H39</f>
        <v>(k)</v>
      </c>
      <c r="R35" s="49">
        <f>K39</f>
        <v>12650</v>
      </c>
      <c r="S35" s="50"/>
      <c r="T35" s="35">
        <f>O35+R35-S35</f>
        <v>20390</v>
      </c>
      <c r="U35" s="38"/>
      <c r="V35" s="49"/>
    </row>
    <row r="36" spans="8:22" x14ac:dyDescent="0.35">
      <c r="H36" s="37" t="s">
        <v>85</v>
      </c>
      <c r="I36" s="28" t="s">
        <v>82</v>
      </c>
      <c r="J36" s="28"/>
      <c r="K36" s="35">
        <v>5000</v>
      </c>
      <c r="L36" s="38"/>
      <c r="N36" s="37"/>
      <c r="O36" s="46"/>
      <c r="P36" s="47"/>
      <c r="Q36" s="48"/>
      <c r="R36" s="58"/>
      <c r="S36" s="50"/>
      <c r="T36" s="35"/>
      <c r="U36" s="38"/>
    </row>
    <row r="37" spans="8:22" x14ac:dyDescent="0.35">
      <c r="H37" s="4"/>
      <c r="J37" s="28" t="s">
        <v>42</v>
      </c>
      <c r="K37" s="28"/>
      <c r="L37" s="38">
        <f>K36</f>
        <v>5000</v>
      </c>
      <c r="N37" s="59"/>
      <c r="O37" s="60">
        <f>SUM(O6:O36)</f>
        <v>705430</v>
      </c>
      <c r="P37" s="61">
        <f>SUM(P6:P36)</f>
        <v>705430</v>
      </c>
      <c r="Q37" s="62"/>
      <c r="R37" s="63">
        <f>SUM(R6:R36)</f>
        <v>900670</v>
      </c>
      <c r="S37" s="64">
        <f>SUM(S6:S36)</f>
        <v>900670</v>
      </c>
      <c r="T37" s="65">
        <f>SUM(T6:T36)</f>
        <v>1079880</v>
      </c>
      <c r="U37" s="61">
        <f>SUM(U6:U36)</f>
        <v>1079880</v>
      </c>
    </row>
    <row r="38" spans="8:22" x14ac:dyDescent="0.35">
      <c r="H38" s="4"/>
      <c r="J38" s="28"/>
      <c r="K38" s="28"/>
      <c r="L38" s="38"/>
      <c r="P38" s="76"/>
      <c r="S38" s="77"/>
      <c r="T38" s="77"/>
      <c r="U38" s="76"/>
      <c r="V38" s="49"/>
    </row>
    <row r="39" spans="8:22" x14ac:dyDescent="0.35">
      <c r="H39" s="37" t="s">
        <v>106</v>
      </c>
      <c r="I39" s="28" t="s">
        <v>31</v>
      </c>
      <c r="J39" s="28"/>
      <c r="K39" s="35">
        <v>12650</v>
      </c>
      <c r="L39" s="38"/>
      <c r="T39" s="143"/>
      <c r="U39" s="49"/>
    </row>
    <row r="40" spans="8:22" x14ac:dyDescent="0.35">
      <c r="H40" s="4"/>
      <c r="J40" s="28" t="s">
        <v>6</v>
      </c>
      <c r="K40" s="28"/>
      <c r="L40" s="38">
        <f>K39</f>
        <v>12650</v>
      </c>
      <c r="T40" s="143"/>
      <c r="U40" s="49"/>
      <c r="V40" s="49"/>
    </row>
    <row r="41" spans="8:22" ht="15" thickBot="1" x14ac:dyDescent="0.4">
      <c r="H41" s="4"/>
      <c r="J41" s="1"/>
      <c r="K41" s="41">
        <f>SUM(K4:K37)</f>
        <v>888020</v>
      </c>
      <c r="L41" s="42">
        <f>SUM(L4:L37)</f>
        <v>888020</v>
      </c>
      <c r="T41" s="143"/>
      <c r="U41" s="49"/>
    </row>
    <row r="42" spans="8:22" ht="15" thickTop="1" x14ac:dyDescent="0.35">
      <c r="H42" s="5"/>
      <c r="I42" s="2"/>
      <c r="J42" s="2"/>
      <c r="K42" s="2"/>
      <c r="L42" s="43"/>
      <c r="O42" s="53"/>
    </row>
  </sheetData>
  <mergeCells count="5">
    <mergeCell ref="N3:U3"/>
    <mergeCell ref="N4:N5"/>
    <mergeCell ref="O4:P4"/>
    <mergeCell ref="Q4:S4"/>
    <mergeCell ref="T4:U4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7A34-6FB5-4D49-9AD0-2B7D5E78F894}">
  <dimension ref="A1:F41"/>
  <sheetViews>
    <sheetView workbookViewId="0">
      <selection activeCell="D5" sqref="D5"/>
    </sheetView>
  </sheetViews>
  <sheetFormatPr defaultColWidth="8.90625" defaultRowHeight="14.5" x14ac:dyDescent="0.35"/>
  <cols>
    <col min="1" max="1" width="6.81640625" style="1" customWidth="1"/>
    <col min="2" max="2" width="5.81640625" style="1" customWidth="1"/>
    <col min="3" max="3" width="37.81640625" style="31" customWidth="1"/>
    <col min="4" max="4" width="12" style="31" customWidth="1"/>
    <col min="5" max="5" width="12" style="1" customWidth="1"/>
    <col min="6" max="6" width="12" style="58" customWidth="1"/>
    <col min="7" max="16384" width="8.90625" style="1"/>
  </cols>
  <sheetData>
    <row r="1" spans="1:6" ht="18.5" x14ac:dyDescent="0.45">
      <c r="A1" s="67" t="s">
        <v>44</v>
      </c>
      <c r="B1" s="67"/>
    </row>
    <row r="3" spans="1:6" x14ac:dyDescent="0.35">
      <c r="A3" s="29" t="s">
        <v>39</v>
      </c>
      <c r="B3" s="30"/>
      <c r="C3" s="12"/>
      <c r="D3" s="10" t="s">
        <v>12</v>
      </c>
      <c r="E3" s="11" t="s">
        <v>13</v>
      </c>
      <c r="F3" s="70"/>
    </row>
    <row r="4" spans="1:6" x14ac:dyDescent="0.35">
      <c r="A4" s="4"/>
      <c r="E4" s="32"/>
    </row>
    <row r="5" spans="1:6" x14ac:dyDescent="0.35">
      <c r="A5" s="33" t="s">
        <v>18</v>
      </c>
      <c r="B5" s="28" t="s">
        <v>15</v>
      </c>
      <c r="C5" s="34"/>
      <c r="D5" s="35">
        <f>26400/12*3</f>
        <v>6600</v>
      </c>
      <c r="E5" s="36"/>
    </row>
    <row r="6" spans="1:6" x14ac:dyDescent="0.35">
      <c r="A6" s="37"/>
      <c r="B6" s="28"/>
      <c r="C6" s="28" t="s">
        <v>17</v>
      </c>
      <c r="D6" s="28"/>
      <c r="E6" s="38">
        <f>D5</f>
        <v>6600</v>
      </c>
      <c r="F6" s="49"/>
    </row>
    <row r="7" spans="1:6" x14ac:dyDescent="0.35">
      <c r="A7" s="37"/>
      <c r="B7" s="28"/>
      <c r="C7" s="28"/>
      <c r="D7" s="28"/>
      <c r="E7" s="36"/>
    </row>
    <row r="8" spans="1:6" x14ac:dyDescent="0.35">
      <c r="A8" s="33" t="s">
        <v>19</v>
      </c>
      <c r="B8" s="28" t="s">
        <v>42</v>
      </c>
      <c r="C8" s="28"/>
      <c r="D8" s="35">
        <f>14500/2</f>
        <v>7250</v>
      </c>
      <c r="E8" s="36"/>
    </row>
    <row r="9" spans="1:6" x14ac:dyDescent="0.35">
      <c r="A9" s="37"/>
      <c r="B9" s="28"/>
      <c r="C9" s="28" t="s">
        <v>49</v>
      </c>
      <c r="D9" s="28"/>
      <c r="E9" s="38">
        <f>D8</f>
        <v>7250</v>
      </c>
      <c r="F9" s="49"/>
    </row>
    <row r="10" spans="1:6" x14ac:dyDescent="0.35">
      <c r="A10" s="37"/>
      <c r="B10" s="28"/>
      <c r="C10" s="28"/>
      <c r="D10" s="28"/>
      <c r="E10" s="36"/>
    </row>
    <row r="11" spans="1:6" x14ac:dyDescent="0.35">
      <c r="A11" s="37"/>
      <c r="B11" s="28" t="s">
        <v>4</v>
      </c>
      <c r="C11" s="28"/>
      <c r="D11" s="35">
        <v>2540</v>
      </c>
      <c r="E11" s="36"/>
    </row>
    <row r="12" spans="1:6" x14ac:dyDescent="0.35">
      <c r="A12" s="37"/>
      <c r="B12" s="28"/>
      <c r="C12" s="28" t="s">
        <v>3</v>
      </c>
      <c r="D12" s="28"/>
      <c r="E12" s="38">
        <f>D11</f>
        <v>2540</v>
      </c>
    </row>
    <row r="13" spans="1:6" x14ac:dyDescent="0.35">
      <c r="A13" s="37"/>
      <c r="B13" s="28"/>
      <c r="C13" s="28"/>
      <c r="D13" s="28"/>
      <c r="E13" s="36"/>
    </row>
    <row r="14" spans="1:6" x14ac:dyDescent="0.35">
      <c r="A14" s="39" t="s">
        <v>20</v>
      </c>
      <c r="B14" s="28" t="s">
        <v>0</v>
      </c>
      <c r="C14" s="28"/>
      <c r="D14" s="35">
        <v>2850</v>
      </c>
      <c r="E14" s="36"/>
    </row>
    <row r="15" spans="1:6" x14ac:dyDescent="0.35">
      <c r="A15" s="37"/>
      <c r="B15" s="28"/>
      <c r="C15" s="28" t="s">
        <v>40</v>
      </c>
      <c r="D15" s="28"/>
      <c r="E15" s="38">
        <f>D14</f>
        <v>2850</v>
      </c>
    </row>
    <row r="16" spans="1:6" x14ac:dyDescent="0.35">
      <c r="A16" s="37"/>
      <c r="B16" s="28"/>
      <c r="C16" s="28"/>
      <c r="D16" s="28"/>
      <c r="E16" s="36"/>
    </row>
    <row r="17" spans="1:6" x14ac:dyDescent="0.35">
      <c r="A17" s="37" t="s">
        <v>21</v>
      </c>
      <c r="B17" s="28" t="s">
        <v>107</v>
      </c>
      <c r="C17" s="28"/>
      <c r="D17" s="35">
        <f>450*4</f>
        <v>1800</v>
      </c>
      <c r="E17" s="36"/>
    </row>
    <row r="18" spans="1:6" x14ac:dyDescent="0.35">
      <c r="A18" s="37"/>
      <c r="B18" s="28"/>
      <c r="C18" s="28" t="s">
        <v>108</v>
      </c>
      <c r="D18" s="35"/>
      <c r="E18" s="38">
        <f>D17</f>
        <v>1800</v>
      </c>
      <c r="F18" s="49"/>
    </row>
    <row r="19" spans="1:6" x14ac:dyDescent="0.35">
      <c r="A19" s="33"/>
      <c r="B19" s="28"/>
      <c r="C19" s="28"/>
      <c r="D19" s="35"/>
      <c r="E19" s="36"/>
    </row>
    <row r="20" spans="1:6" x14ac:dyDescent="0.35">
      <c r="A20" s="33" t="s">
        <v>22</v>
      </c>
      <c r="B20" s="28" t="s">
        <v>41</v>
      </c>
      <c r="C20" s="28"/>
      <c r="D20" s="35">
        <v>8200</v>
      </c>
      <c r="E20" s="36"/>
    </row>
    <row r="21" spans="1:6" x14ac:dyDescent="0.35">
      <c r="A21" s="37"/>
      <c r="B21" s="28"/>
      <c r="C21" s="28" t="s">
        <v>90</v>
      </c>
      <c r="D21" s="28"/>
      <c r="E21" s="38">
        <f>D20</f>
        <v>8200</v>
      </c>
      <c r="F21" s="49"/>
    </row>
    <row r="22" spans="1:6" x14ac:dyDescent="0.35">
      <c r="A22" s="37"/>
      <c r="B22" s="28"/>
      <c r="C22" s="28"/>
      <c r="D22" s="28"/>
      <c r="E22" s="36"/>
    </row>
    <row r="23" spans="1:6" x14ac:dyDescent="0.35">
      <c r="A23" s="37" t="s">
        <v>32</v>
      </c>
      <c r="B23" s="28" t="s">
        <v>109</v>
      </c>
      <c r="C23" s="28"/>
      <c r="D23" s="35">
        <v>2200</v>
      </c>
      <c r="E23" s="36"/>
    </row>
    <row r="24" spans="1:6" x14ac:dyDescent="0.35">
      <c r="A24" s="37"/>
      <c r="B24" s="28"/>
      <c r="C24" s="28" t="s">
        <v>16</v>
      </c>
      <c r="D24" s="28"/>
      <c r="E24" s="38">
        <f>D23</f>
        <v>2200</v>
      </c>
      <c r="F24" s="49"/>
    </row>
    <row r="25" spans="1:6" x14ac:dyDescent="0.35">
      <c r="A25" s="37"/>
      <c r="B25" s="28"/>
      <c r="C25" s="28"/>
      <c r="D25" s="28"/>
      <c r="E25" s="36"/>
    </row>
    <row r="26" spans="1:6" x14ac:dyDescent="0.35">
      <c r="A26" s="37" t="s">
        <v>23</v>
      </c>
      <c r="B26" s="28" t="s">
        <v>43</v>
      </c>
      <c r="C26" s="28"/>
      <c r="D26" s="35">
        <v>4200</v>
      </c>
      <c r="E26" s="36"/>
    </row>
    <row r="27" spans="1:6" x14ac:dyDescent="0.35">
      <c r="A27" s="37"/>
      <c r="B27" s="28"/>
      <c r="C27" s="28" t="s">
        <v>61</v>
      </c>
      <c r="D27" s="28"/>
      <c r="E27" s="38">
        <f>D26</f>
        <v>4200</v>
      </c>
    </row>
    <row r="28" spans="1:6" ht="15" thickBot="1" x14ac:dyDescent="0.4">
      <c r="A28" s="4"/>
      <c r="C28" s="1"/>
      <c r="D28" s="41">
        <f>SUM(D4:D27)</f>
        <v>35640</v>
      </c>
      <c r="E28" s="42">
        <f>SUM(E4:E27)</f>
        <v>35640</v>
      </c>
    </row>
    <row r="29" spans="1:6" ht="15" thickTop="1" x14ac:dyDescent="0.35">
      <c r="A29" s="5"/>
      <c r="B29" s="2"/>
      <c r="C29" s="2"/>
      <c r="D29" s="2"/>
      <c r="E29" s="43"/>
    </row>
    <row r="33" spans="6:6" x14ac:dyDescent="0.35">
      <c r="F33" s="49"/>
    </row>
    <row r="36" spans="6:6" x14ac:dyDescent="0.35">
      <c r="F36" s="49"/>
    </row>
    <row r="39" spans="6:6" x14ac:dyDescent="0.35">
      <c r="F39" s="49"/>
    </row>
    <row r="41" spans="6:6" x14ac:dyDescent="0.35">
      <c r="F41" s="49"/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6BFB-01E0-412E-9FFD-DEBF0E3CCF19}">
  <dimension ref="A1:AF69"/>
  <sheetViews>
    <sheetView tabSelected="1" topLeftCell="H3" zoomScale="98" zoomScaleNormal="98" workbookViewId="0">
      <selection activeCell="AF24" sqref="AF24"/>
    </sheetView>
  </sheetViews>
  <sheetFormatPr defaultColWidth="8.90625" defaultRowHeight="14.5" x14ac:dyDescent="0.35"/>
  <cols>
    <col min="1" max="1" width="4.6328125" style="58" customWidth="1"/>
    <col min="2" max="2" width="36.81640625" style="58" customWidth="1"/>
    <col min="3" max="3" width="13.453125" style="1" bestFit="1" customWidth="1"/>
    <col min="4" max="4" width="11" style="1" customWidth="1"/>
    <col min="5" max="5" width="7.6328125" style="58" customWidth="1"/>
    <col min="6" max="7" width="11" style="58" customWidth="1"/>
    <col min="8" max="8" width="11" style="1" customWidth="1"/>
    <col min="9" max="9" width="10.453125" style="1" bestFit="1" customWidth="1"/>
    <col min="10" max="10" width="7.6328125" style="58" customWidth="1"/>
    <col min="11" max="12" width="11" style="58" customWidth="1"/>
    <col min="13" max="13" width="11" style="1" customWidth="1"/>
    <col min="14" max="14" width="10.453125" style="1" bestFit="1" customWidth="1"/>
    <col min="15" max="15" width="5.36328125" style="1" customWidth="1"/>
    <col min="16" max="16" width="4.6328125" style="1" customWidth="1"/>
    <col min="17" max="17" width="29.81640625" style="1" customWidth="1"/>
    <col min="18" max="18" width="10.453125" style="1" customWidth="1"/>
    <col min="19" max="19" width="3.1796875" style="1" customWidth="1"/>
    <col min="20" max="20" width="16.54296875" style="1" bestFit="1" customWidth="1"/>
    <col min="21" max="21" width="9.81640625" style="1" customWidth="1"/>
    <col min="22" max="22" width="1.81640625" style="1" customWidth="1"/>
    <col min="23" max="23" width="9.81640625" style="1" customWidth="1"/>
    <col min="24" max="24" width="1.6328125" style="1" customWidth="1"/>
    <col min="25" max="25" width="10.90625" style="1" bestFit="1" customWidth="1"/>
    <col min="26" max="26" width="1.1796875" style="1" customWidth="1"/>
    <col min="27" max="27" width="10.90625" style="1" bestFit="1" customWidth="1"/>
    <col min="28" max="28" width="2.90625" style="1" customWidth="1"/>
    <col min="29" max="29" width="3.54296875" style="1" customWidth="1"/>
    <col min="30" max="30" width="36.1796875" style="1" customWidth="1"/>
    <col min="31" max="31" width="13.54296875" style="1" customWidth="1"/>
    <col min="32" max="16384" width="8.90625" style="1"/>
  </cols>
  <sheetData>
    <row r="1" spans="1:31" ht="18.5" x14ac:dyDescent="0.45">
      <c r="A1" s="67" t="s">
        <v>115</v>
      </c>
      <c r="B1" s="67"/>
      <c r="P1" s="67"/>
    </row>
    <row r="2" spans="1:31" x14ac:dyDescent="0.35">
      <c r="A2" s="6" t="s">
        <v>24</v>
      </c>
      <c r="B2" s="6"/>
      <c r="C2" s="7"/>
      <c r="D2" s="7"/>
      <c r="E2" s="83"/>
      <c r="F2" s="83"/>
      <c r="G2" s="83"/>
      <c r="H2" s="7"/>
      <c r="I2" s="7"/>
      <c r="J2" s="117" t="s">
        <v>26</v>
      </c>
      <c r="K2" s="118"/>
      <c r="L2" s="118"/>
      <c r="M2" s="119"/>
      <c r="N2" s="119"/>
      <c r="P2" s="6" t="s">
        <v>25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ht="27" customHeight="1" x14ac:dyDescent="0.35">
      <c r="A3" s="167" t="s">
        <v>80</v>
      </c>
      <c r="B3" s="168"/>
      <c r="C3" s="171" t="s">
        <v>120</v>
      </c>
      <c r="D3" s="172"/>
      <c r="E3" s="174" t="s">
        <v>117</v>
      </c>
      <c r="F3" s="175"/>
      <c r="G3" s="176"/>
      <c r="H3" s="173" t="s">
        <v>118</v>
      </c>
      <c r="I3" s="172"/>
      <c r="J3" s="177" t="s">
        <v>123</v>
      </c>
      <c r="K3" s="178"/>
      <c r="L3" s="179"/>
      <c r="M3" s="173" t="s">
        <v>119</v>
      </c>
      <c r="N3" s="172"/>
      <c r="P3" s="156" t="s">
        <v>111</v>
      </c>
      <c r="Q3" s="157"/>
      <c r="R3" s="158"/>
      <c r="T3" s="156" t="str">
        <f>P3</f>
        <v xml:space="preserve">Hunt3X Coporation </v>
      </c>
      <c r="U3" s="157"/>
      <c r="V3" s="157"/>
      <c r="W3" s="157"/>
      <c r="X3" s="157"/>
      <c r="Y3" s="157"/>
      <c r="Z3" s="157"/>
      <c r="AA3" s="158"/>
      <c r="AC3" s="156" t="str">
        <f>T3</f>
        <v xml:space="preserve">Hunt3X Coporation </v>
      </c>
      <c r="AD3" s="157"/>
      <c r="AE3" s="158"/>
    </row>
    <row r="4" spans="1:31" ht="15.65" customHeight="1" x14ac:dyDescent="0.35">
      <c r="A4" s="169"/>
      <c r="B4" s="170"/>
      <c r="C4" s="82" t="s">
        <v>12</v>
      </c>
      <c r="D4" s="81" t="s">
        <v>13</v>
      </c>
      <c r="E4" s="84" t="s">
        <v>45</v>
      </c>
      <c r="F4" s="84" t="s">
        <v>12</v>
      </c>
      <c r="G4" s="85" t="s">
        <v>13</v>
      </c>
      <c r="H4" s="80" t="s">
        <v>12</v>
      </c>
      <c r="I4" s="81" t="s">
        <v>13</v>
      </c>
      <c r="J4" s="84" t="s">
        <v>45</v>
      </c>
      <c r="K4" s="84" t="s">
        <v>12</v>
      </c>
      <c r="L4" s="85" t="s">
        <v>13</v>
      </c>
      <c r="M4" s="80" t="s">
        <v>12</v>
      </c>
      <c r="N4" s="81" t="s">
        <v>13</v>
      </c>
      <c r="P4" s="159" t="s">
        <v>46</v>
      </c>
      <c r="Q4" s="160"/>
      <c r="R4" s="161"/>
      <c r="T4" s="159" t="s">
        <v>47</v>
      </c>
      <c r="U4" s="160"/>
      <c r="V4" s="160"/>
      <c r="W4" s="160"/>
      <c r="X4" s="160"/>
      <c r="Y4" s="160"/>
      <c r="Z4" s="160"/>
      <c r="AA4" s="161"/>
      <c r="AC4" s="159" t="s">
        <v>48</v>
      </c>
      <c r="AD4" s="160"/>
      <c r="AE4" s="161"/>
    </row>
    <row r="5" spans="1:31" x14ac:dyDescent="0.35">
      <c r="A5" s="37" t="str">
        <f>'TB @ 30 Sept 2025'!A3</f>
        <v>Cash</v>
      </c>
      <c r="B5" s="36"/>
      <c r="C5" s="46">
        <f>'Tutorial 2 Sol'!T6</f>
        <v>359516</v>
      </c>
      <c r="D5" s="47"/>
      <c r="E5" s="48"/>
      <c r="F5" s="49"/>
      <c r="G5" s="54"/>
      <c r="H5" s="35">
        <f t="shared" ref="H5:H10" si="0">C5+F5-G5</f>
        <v>359516</v>
      </c>
      <c r="I5" s="36"/>
      <c r="J5" s="48"/>
      <c r="K5" s="49"/>
      <c r="L5" s="54"/>
      <c r="M5" s="35">
        <f t="shared" ref="M5:M10" si="1">H5+K5-L5</f>
        <v>359516</v>
      </c>
      <c r="N5" s="36"/>
      <c r="P5" s="162" t="s">
        <v>112</v>
      </c>
      <c r="Q5" s="163"/>
      <c r="R5" s="164"/>
      <c r="T5" s="162" t="str">
        <f>P5</f>
        <v>For the Year Ended 31 December 2025</v>
      </c>
      <c r="U5" s="163"/>
      <c r="V5" s="163"/>
      <c r="W5" s="163"/>
      <c r="X5" s="163"/>
      <c r="Y5" s="163"/>
      <c r="Z5" s="163"/>
      <c r="AA5" s="164"/>
      <c r="AC5" s="162" t="s">
        <v>113</v>
      </c>
      <c r="AD5" s="163"/>
      <c r="AE5" s="164"/>
    </row>
    <row r="6" spans="1:31" x14ac:dyDescent="0.35">
      <c r="A6" s="37" t="str">
        <f>'TB @ 30 Sept 2025'!A4</f>
        <v>Accounts Receivable</v>
      </c>
      <c r="B6" s="36"/>
      <c r="C6" s="46">
        <f>'Tutorial 2 Sol'!T16</f>
        <v>33800</v>
      </c>
      <c r="D6" s="47"/>
      <c r="E6" s="86"/>
      <c r="G6" s="54"/>
      <c r="H6" s="35">
        <f t="shared" si="0"/>
        <v>33800</v>
      </c>
      <c r="I6" s="36"/>
      <c r="J6" s="86"/>
      <c r="L6" s="54"/>
      <c r="M6" s="35">
        <f t="shared" si="1"/>
        <v>33800</v>
      </c>
      <c r="N6" s="36"/>
      <c r="P6" s="4"/>
      <c r="R6" s="47"/>
      <c r="T6" s="4"/>
      <c r="AA6" s="32"/>
      <c r="AC6" s="37"/>
      <c r="AE6" s="87"/>
    </row>
    <row r="7" spans="1:31" x14ac:dyDescent="0.35">
      <c r="A7" s="37" t="str">
        <f>'TB @ 30 Sept 2025'!A5</f>
        <v>Prepaid Rent</v>
      </c>
      <c r="B7" s="36"/>
      <c r="C7" s="46">
        <f>'Tutorial 2 Sol'!T18</f>
        <v>19800</v>
      </c>
      <c r="D7" s="47"/>
      <c r="E7" s="48" t="str">
        <f>'Tutorial 3 Sol'!A5</f>
        <v>(a)</v>
      </c>
      <c r="F7" s="49"/>
      <c r="G7" s="54">
        <f>'Tutorial 3 Sol'!E6</f>
        <v>6600</v>
      </c>
      <c r="H7" s="35">
        <f t="shared" si="0"/>
        <v>13200</v>
      </c>
      <c r="I7" s="36"/>
      <c r="J7" s="48"/>
      <c r="K7" s="49"/>
      <c r="L7" s="54"/>
      <c r="M7" s="35">
        <f t="shared" si="1"/>
        <v>13200</v>
      </c>
      <c r="N7" s="36"/>
      <c r="P7" s="4"/>
      <c r="Q7" s="1" t="str">
        <f>A22</f>
        <v>Sales Revenue</v>
      </c>
      <c r="R7" s="120">
        <f>I22</f>
        <v>315550</v>
      </c>
      <c r="T7" s="4"/>
      <c r="U7" s="31" t="s">
        <v>91</v>
      </c>
      <c r="V7" s="31"/>
      <c r="W7" s="31" t="s">
        <v>93</v>
      </c>
      <c r="X7" s="31"/>
      <c r="Y7" s="31" t="s">
        <v>50</v>
      </c>
      <c r="Z7" s="31"/>
      <c r="AA7" s="88" t="s">
        <v>51</v>
      </c>
      <c r="AC7" s="37" t="s">
        <v>7</v>
      </c>
      <c r="AE7" s="47"/>
    </row>
    <row r="8" spans="1:31" x14ac:dyDescent="0.35">
      <c r="A8" s="37" t="s">
        <v>109</v>
      </c>
      <c r="B8" s="36"/>
      <c r="C8" s="46">
        <v>0</v>
      </c>
      <c r="D8" s="47"/>
      <c r="E8" s="48" t="str">
        <f>'Tutorial 3 Sol'!A23</f>
        <v>(f)</v>
      </c>
      <c r="F8" s="49">
        <f>'Tutorial 3 Sol'!D23</f>
        <v>2200</v>
      </c>
      <c r="G8" s="54"/>
      <c r="H8" s="35">
        <f t="shared" si="0"/>
        <v>2200</v>
      </c>
      <c r="I8" s="36"/>
      <c r="J8" s="48"/>
      <c r="K8" s="49"/>
      <c r="L8" s="54"/>
      <c r="M8" s="35">
        <f t="shared" si="1"/>
        <v>2200</v>
      </c>
      <c r="N8" s="36"/>
      <c r="P8" s="4"/>
      <c r="Q8" s="1" t="str">
        <f>A23</f>
        <v>Cost of Goods Sold</v>
      </c>
      <c r="R8" s="121">
        <f>-H23</f>
        <v>-113934</v>
      </c>
      <c r="T8" s="4"/>
      <c r="U8" s="89" t="s">
        <v>92</v>
      </c>
      <c r="V8" s="31"/>
      <c r="W8" s="89" t="s">
        <v>92</v>
      </c>
      <c r="X8" s="31"/>
      <c r="Y8" s="89" t="s">
        <v>52</v>
      </c>
      <c r="Z8" s="31"/>
      <c r="AA8" s="90" t="s">
        <v>11</v>
      </c>
      <c r="AC8" s="4" t="s">
        <v>53</v>
      </c>
      <c r="AE8" s="88"/>
    </row>
    <row r="9" spans="1:31" ht="15" thickBot="1" x14ac:dyDescent="0.4">
      <c r="A9" s="37" t="str">
        <f>'TB @ 30 Sept 2025'!A6</f>
        <v>Inventory</v>
      </c>
      <c r="B9" s="36"/>
      <c r="C9" s="46">
        <f>'Tutorial 2 Sol'!T19</f>
        <v>118280</v>
      </c>
      <c r="D9" s="47"/>
      <c r="E9" s="48" t="str">
        <f>'Tutorial 3 Sol'!A8</f>
        <v>(b)</v>
      </c>
      <c r="F9" s="49"/>
      <c r="G9" s="54">
        <f>'Tutorial 3 Sol'!E12</f>
        <v>2540</v>
      </c>
      <c r="H9" s="35">
        <f t="shared" si="0"/>
        <v>115740</v>
      </c>
      <c r="I9" s="38"/>
      <c r="J9" s="48"/>
      <c r="K9" s="49"/>
      <c r="L9" s="54"/>
      <c r="M9" s="35">
        <f t="shared" si="1"/>
        <v>115740</v>
      </c>
      <c r="N9" s="38"/>
      <c r="P9" s="4" t="s">
        <v>54</v>
      </c>
      <c r="R9" s="120">
        <f>SUM(R7:R8)</f>
        <v>201616</v>
      </c>
      <c r="T9" s="4" t="s">
        <v>55</v>
      </c>
      <c r="U9" s="91">
        <f>'TB @ 30 Sept 2025'!C10</f>
        <v>200000</v>
      </c>
      <c r="V9" s="92"/>
      <c r="W9" s="91">
        <f>'TB @ 30 Sept 2025'!C11</f>
        <v>200000</v>
      </c>
      <c r="X9" s="92"/>
      <c r="Y9" s="91">
        <f>I21</f>
        <v>5230</v>
      </c>
      <c r="Z9" s="92"/>
      <c r="AA9" s="93">
        <f>SUM(U9:Y9)</f>
        <v>405230</v>
      </c>
      <c r="AC9" s="4"/>
      <c r="AD9" s="1" t="str">
        <f>A5</f>
        <v>Cash</v>
      </c>
      <c r="AE9" s="120">
        <f>H5</f>
        <v>359516</v>
      </c>
    </row>
    <row r="10" spans="1:31" ht="13.5" customHeight="1" x14ac:dyDescent="0.35">
      <c r="A10" s="37" t="str">
        <f>'Tutorial 2 Sol'!N21</f>
        <v>Property Plant and Equipment (PPE)</v>
      </c>
      <c r="B10" s="36"/>
      <c r="C10" s="46">
        <f>'Tutorial 2 Sol'!T21</f>
        <v>300000</v>
      </c>
      <c r="D10" s="47"/>
      <c r="E10" s="48"/>
      <c r="F10" s="49"/>
      <c r="G10" s="54"/>
      <c r="H10" s="35">
        <f t="shared" si="0"/>
        <v>300000</v>
      </c>
      <c r="I10" s="36"/>
      <c r="J10" s="48"/>
      <c r="K10" s="49"/>
      <c r="L10" s="54"/>
      <c r="M10" s="35">
        <f t="shared" si="1"/>
        <v>300000</v>
      </c>
      <c r="N10" s="36"/>
      <c r="P10" s="4"/>
      <c r="Q10" s="1" t="str">
        <f t="shared" ref="Q10:Q15" si="2">A24</f>
        <v>Rent Expense</v>
      </c>
      <c r="R10" s="120">
        <f t="shared" ref="R10:R15" si="3">-H24</f>
        <v>-13200</v>
      </c>
      <c r="T10" s="4" t="s">
        <v>56</v>
      </c>
      <c r="U10" s="123">
        <f>'Tutorial 2 Sol'!S27</f>
        <v>250000</v>
      </c>
      <c r="V10" s="123"/>
      <c r="W10" s="123"/>
      <c r="X10" s="123"/>
      <c r="Y10" s="123"/>
      <c r="Z10" s="123"/>
      <c r="AA10" s="124">
        <f>U10</f>
        <v>250000</v>
      </c>
      <c r="AC10" s="4"/>
      <c r="AD10" s="1" t="str">
        <f>A6</f>
        <v>Accounts Receivable</v>
      </c>
      <c r="AE10" s="120">
        <f>H6</f>
        <v>33800</v>
      </c>
    </row>
    <row r="11" spans="1:31" x14ac:dyDescent="0.35">
      <c r="A11" s="37" t="s">
        <v>90</v>
      </c>
      <c r="B11" s="36"/>
      <c r="C11" s="55"/>
      <c r="D11" s="56">
        <v>0</v>
      </c>
      <c r="E11" s="57" t="str">
        <f>'Tutorial 3 Sol'!A20</f>
        <v xml:space="preserve">(e) </v>
      </c>
      <c r="G11" s="54">
        <f>'Tutorial 3 Sol'!E21</f>
        <v>8200</v>
      </c>
      <c r="H11" s="35"/>
      <c r="I11" s="38">
        <f t="shared" ref="I11:I17" si="4">D11+G11-F11</f>
        <v>8200</v>
      </c>
      <c r="J11" s="57"/>
      <c r="L11" s="54"/>
      <c r="M11" s="35"/>
      <c r="N11" s="38">
        <f>I11+L11-K11</f>
        <v>8200</v>
      </c>
      <c r="P11" s="4"/>
      <c r="Q11" s="1" t="str">
        <f t="shared" si="2"/>
        <v>Marketing Expense</v>
      </c>
      <c r="R11" s="120">
        <f t="shared" si="3"/>
        <v>-18500</v>
      </c>
      <c r="T11" s="4" t="s">
        <v>57</v>
      </c>
      <c r="U11" s="123"/>
      <c r="V11" s="123"/>
      <c r="W11" s="123"/>
      <c r="X11" s="123"/>
      <c r="Y11" s="123">
        <f>R20</f>
        <v>43076</v>
      </c>
      <c r="Z11" s="123"/>
      <c r="AA11" s="124">
        <f>SUM(U11:Y11)</f>
        <v>43076</v>
      </c>
      <c r="AC11" s="4"/>
      <c r="AD11" s="1" t="str">
        <f>A7</f>
        <v>Prepaid Rent</v>
      </c>
      <c r="AE11" s="120">
        <f>H7</f>
        <v>13200</v>
      </c>
    </row>
    <row r="12" spans="1:31" ht="15" thickBot="1" x14ac:dyDescent="0.4">
      <c r="A12" s="37" t="str">
        <f>'TB @ 30 Sept 2025'!A7</f>
        <v>Accounts Payable</v>
      </c>
      <c r="B12" s="36"/>
      <c r="C12" s="55"/>
      <c r="D12" s="56">
        <f>'Tutorial 2 Sol'!U22</f>
        <v>16850</v>
      </c>
      <c r="E12" s="57"/>
      <c r="G12" s="54"/>
      <c r="H12" s="28"/>
      <c r="I12" s="38">
        <f t="shared" si="4"/>
        <v>16850</v>
      </c>
      <c r="J12" s="57"/>
      <c r="L12" s="54"/>
      <c r="M12" s="28"/>
      <c r="N12" s="38">
        <f t="shared" ref="N12:N22" si="5">I12+L12-K12</f>
        <v>16850</v>
      </c>
      <c r="P12" s="4"/>
      <c r="Q12" s="1" t="str">
        <f t="shared" si="2"/>
        <v>Salaries Expense</v>
      </c>
      <c r="R12" s="120">
        <f t="shared" si="3"/>
        <v>-89400</v>
      </c>
      <c r="T12" s="4" t="s">
        <v>58</v>
      </c>
      <c r="U12" s="91">
        <f>SUM(U9:U11)</f>
        <v>450000</v>
      </c>
      <c r="V12" s="92"/>
      <c r="W12" s="91">
        <f>SUM(W9:W11)</f>
        <v>200000</v>
      </c>
      <c r="X12" s="92"/>
      <c r="Y12" s="91">
        <f>SUM(Y9:Y11)</f>
        <v>48306</v>
      </c>
      <c r="Z12" s="92"/>
      <c r="AA12" s="93">
        <f>SUM(AA9:AA11)</f>
        <v>698306</v>
      </c>
      <c r="AC12" s="4"/>
      <c r="AD12" s="1" t="str">
        <f>A8</f>
        <v>Prepaid Salaries</v>
      </c>
      <c r="AE12" s="120">
        <f>H8</f>
        <v>2200</v>
      </c>
    </row>
    <row r="13" spans="1:31" x14ac:dyDescent="0.35">
      <c r="A13" s="37" t="s">
        <v>42</v>
      </c>
      <c r="B13" s="36"/>
      <c r="C13" s="55"/>
      <c r="D13" s="56">
        <f>'Tutorial 2 Sol'!U24</f>
        <v>19500</v>
      </c>
      <c r="E13" s="57" t="str">
        <f>'Tutorial 3 Sol'!A8</f>
        <v>(b)</v>
      </c>
      <c r="F13" s="49">
        <f>'Tutorial 3 Sol'!D8</f>
        <v>7250</v>
      </c>
      <c r="G13" s="54"/>
      <c r="H13" s="28"/>
      <c r="I13" s="38">
        <f t="shared" si="4"/>
        <v>12250</v>
      </c>
      <c r="J13" s="57"/>
      <c r="K13" s="49"/>
      <c r="L13" s="54"/>
      <c r="M13" s="28"/>
      <c r="N13" s="38">
        <f t="shared" si="5"/>
        <v>12250</v>
      </c>
      <c r="P13" s="4"/>
      <c r="Q13" s="1" t="str">
        <f t="shared" si="2"/>
        <v>General Admin Expense</v>
      </c>
      <c r="R13" s="120">
        <f t="shared" si="3"/>
        <v>-20390</v>
      </c>
      <c r="T13" s="5"/>
      <c r="U13" s="2"/>
      <c r="V13" s="2"/>
      <c r="W13" s="2"/>
      <c r="X13" s="2"/>
      <c r="Y13" s="2"/>
      <c r="Z13" s="2"/>
      <c r="AA13" s="43"/>
      <c r="AC13" s="4"/>
      <c r="AD13" s="1" t="str">
        <f>A9</f>
        <v>Inventory</v>
      </c>
      <c r="AE13" s="121">
        <f>H9</f>
        <v>115740</v>
      </c>
    </row>
    <row r="14" spans="1:31" x14ac:dyDescent="0.35">
      <c r="A14" s="37" t="s">
        <v>108</v>
      </c>
      <c r="B14" s="36"/>
      <c r="C14" s="55"/>
      <c r="D14" s="56">
        <v>0</v>
      </c>
      <c r="E14" s="57" t="str">
        <f>'Tutorial 3 Sol'!A17</f>
        <v>(d)</v>
      </c>
      <c r="F14" s="49"/>
      <c r="G14" s="54">
        <f>'Tutorial 3 Sol'!E18</f>
        <v>1800</v>
      </c>
      <c r="H14" s="28"/>
      <c r="I14" s="38">
        <f t="shared" si="4"/>
        <v>1800</v>
      </c>
      <c r="J14" s="57"/>
      <c r="K14" s="49"/>
      <c r="L14" s="54"/>
      <c r="M14" s="28"/>
      <c r="N14" s="38">
        <f t="shared" si="5"/>
        <v>1800</v>
      </c>
      <c r="P14" s="4"/>
      <c r="Q14" s="1" t="str">
        <f t="shared" si="2"/>
        <v xml:space="preserve">Consulting Fees </v>
      </c>
      <c r="R14" s="120">
        <f t="shared" si="3"/>
        <v>-1800</v>
      </c>
      <c r="AC14" s="4"/>
      <c r="AD14" s="1" t="s">
        <v>59</v>
      </c>
      <c r="AE14" s="120">
        <f>SUM(AE9:AE13)</f>
        <v>524456</v>
      </c>
    </row>
    <row r="15" spans="1:31" x14ac:dyDescent="0.35">
      <c r="A15" s="37" t="s">
        <v>40</v>
      </c>
      <c r="B15" s="36"/>
      <c r="C15" s="55"/>
      <c r="D15" s="56">
        <v>0</v>
      </c>
      <c r="E15" s="57" t="str">
        <f>E30</f>
        <v xml:space="preserve">(c) </v>
      </c>
      <c r="F15" s="49"/>
      <c r="G15" s="54">
        <f>'Tutorial 3 Sol'!E15</f>
        <v>2850</v>
      </c>
      <c r="H15" s="28"/>
      <c r="I15" s="38">
        <f t="shared" si="4"/>
        <v>2850</v>
      </c>
      <c r="J15" s="57"/>
      <c r="K15" s="49"/>
      <c r="L15" s="54"/>
      <c r="M15" s="28"/>
      <c r="N15" s="38">
        <f t="shared" si="5"/>
        <v>2850</v>
      </c>
      <c r="P15" s="4"/>
      <c r="Q15" s="1" t="str">
        <f t="shared" si="2"/>
        <v>Depreciation Expense</v>
      </c>
      <c r="R15" s="121">
        <f t="shared" si="3"/>
        <v>-8200</v>
      </c>
      <c r="AC15" s="4" t="s">
        <v>60</v>
      </c>
      <c r="AE15" s="120"/>
    </row>
    <row r="16" spans="1:31" x14ac:dyDescent="0.35">
      <c r="A16" s="37" t="s">
        <v>61</v>
      </c>
      <c r="B16" s="36"/>
      <c r="C16" s="55"/>
      <c r="D16" s="56">
        <v>0</v>
      </c>
      <c r="E16" s="57" t="str">
        <f>'Tutorial 3 Sol'!A26</f>
        <v>(g)</v>
      </c>
      <c r="F16" s="49"/>
      <c r="G16" s="54">
        <f>'Tutorial 3 Sol'!E27</f>
        <v>4200</v>
      </c>
      <c r="H16" s="28"/>
      <c r="I16" s="38">
        <f t="shared" si="4"/>
        <v>4200</v>
      </c>
      <c r="J16" s="57"/>
      <c r="K16" s="49"/>
      <c r="L16" s="54"/>
      <c r="M16" s="28"/>
      <c r="N16" s="38">
        <f t="shared" si="5"/>
        <v>4200</v>
      </c>
      <c r="P16" s="4" t="s">
        <v>62</v>
      </c>
      <c r="R16" s="120">
        <f>SUM(R9:R15)</f>
        <v>50126</v>
      </c>
      <c r="AC16" s="4"/>
      <c r="AD16" s="1" t="s">
        <v>2</v>
      </c>
      <c r="AE16" s="120">
        <f>H10-I11</f>
        <v>291800</v>
      </c>
    </row>
    <row r="17" spans="1:32" x14ac:dyDescent="0.35">
      <c r="A17" s="37" t="str">
        <f>'Tutorial 2 Sol'!N25</f>
        <v>Short Term Notes Payable</v>
      </c>
      <c r="B17" s="36"/>
      <c r="C17" s="55"/>
      <c r="D17" s="56">
        <f>'Tutorial 2 Sol'!U25</f>
        <v>30000</v>
      </c>
      <c r="E17" s="57"/>
      <c r="F17" s="49"/>
      <c r="G17" s="54"/>
      <c r="H17" s="28"/>
      <c r="I17" s="38">
        <f t="shared" si="4"/>
        <v>30000</v>
      </c>
      <c r="J17" s="57"/>
      <c r="K17" s="49"/>
      <c r="L17" s="54"/>
      <c r="M17" s="28"/>
      <c r="N17" s="38">
        <f t="shared" si="5"/>
        <v>30000</v>
      </c>
      <c r="P17" s="4"/>
      <c r="Q17" s="1" t="str">
        <f>A30</f>
        <v>Interest Expense</v>
      </c>
      <c r="R17" s="121">
        <f>-H30</f>
        <v>-2850</v>
      </c>
      <c r="AC17" s="4"/>
      <c r="AD17" s="1" t="s">
        <v>63</v>
      </c>
      <c r="AE17" s="125">
        <f>SUM(AE16:AE16)</f>
        <v>291800</v>
      </c>
    </row>
    <row r="18" spans="1:32" x14ac:dyDescent="0.35">
      <c r="A18" s="37" t="str">
        <f>'TB @ 30 Sept 2025'!A9</f>
        <v>Long-term Debt</v>
      </c>
      <c r="B18" s="36"/>
      <c r="C18" s="55"/>
      <c r="D18" s="56">
        <f>'Tutorial 2 Sol'!U26</f>
        <v>50000</v>
      </c>
      <c r="E18" s="57"/>
      <c r="G18" s="50"/>
      <c r="H18" s="35"/>
      <c r="I18" s="38">
        <f t="shared" ref="I18:I22" si="6">D18+G18-F18</f>
        <v>50000</v>
      </c>
      <c r="J18" s="57"/>
      <c r="L18" s="50"/>
      <c r="M18" s="35"/>
      <c r="N18" s="38">
        <f t="shared" si="5"/>
        <v>50000</v>
      </c>
      <c r="P18" s="4" t="s">
        <v>64</v>
      </c>
      <c r="R18" s="120">
        <f>SUM(R16:R17)</f>
        <v>47276</v>
      </c>
      <c r="AC18" s="37" t="s">
        <v>8</v>
      </c>
      <c r="AE18" s="122">
        <f>AE17+AE14</f>
        <v>816256</v>
      </c>
    </row>
    <row r="19" spans="1:32" x14ac:dyDescent="0.35">
      <c r="A19" s="37" t="str">
        <f>'TB @ 30 Sept 2025'!A10</f>
        <v>Share Capital - Ordinary Shares</v>
      </c>
      <c r="B19" s="36"/>
      <c r="C19" s="55"/>
      <c r="D19" s="56">
        <f>'Tutorial 2 Sol'!U27</f>
        <v>450000</v>
      </c>
      <c r="E19" s="57"/>
      <c r="G19" s="50"/>
      <c r="H19" s="28"/>
      <c r="I19" s="38">
        <f t="shared" si="6"/>
        <v>450000</v>
      </c>
      <c r="J19" s="57"/>
      <c r="L19" s="50"/>
      <c r="M19" s="28"/>
      <c r="N19" s="38">
        <f t="shared" si="5"/>
        <v>450000</v>
      </c>
      <c r="P19" s="4"/>
      <c r="Q19" s="1" t="str">
        <f>A31</f>
        <v>Income Tax Expense</v>
      </c>
      <c r="R19" s="121">
        <f>-H31</f>
        <v>-4200</v>
      </c>
      <c r="AC19" s="4"/>
      <c r="AE19" s="120"/>
      <c r="AF19" s="49"/>
    </row>
    <row r="20" spans="1:32" x14ac:dyDescent="0.35">
      <c r="A20" s="37" t="str">
        <f>'TB @ 30 Sept 2025'!A11</f>
        <v>Share Capital - Preference Shares (cumulative)</v>
      </c>
      <c r="B20" s="36"/>
      <c r="C20" s="55"/>
      <c r="D20" s="56">
        <f>'Tutorial 2 Sol'!U28</f>
        <v>200000</v>
      </c>
      <c r="E20" s="57"/>
      <c r="G20" s="50"/>
      <c r="H20" s="28"/>
      <c r="I20" s="38">
        <f t="shared" si="6"/>
        <v>200000</v>
      </c>
      <c r="J20" s="57"/>
      <c r="L20" s="50"/>
      <c r="M20" s="28"/>
      <c r="N20" s="38">
        <f t="shared" si="5"/>
        <v>200000</v>
      </c>
      <c r="O20" s="53"/>
      <c r="P20" s="59" t="s">
        <v>57</v>
      </c>
      <c r="Q20" s="2"/>
      <c r="R20" s="122">
        <f>SUM(R18:R19)</f>
        <v>43076</v>
      </c>
      <c r="AC20" s="37" t="s">
        <v>9</v>
      </c>
      <c r="AE20" s="120"/>
    </row>
    <row r="21" spans="1:32" x14ac:dyDescent="0.35">
      <c r="A21" s="37" t="str">
        <f>'TB @ 30 Sept 2025'!A12</f>
        <v>Retained Earnings  (@ 31 Dec 2024)</v>
      </c>
      <c r="B21" s="36"/>
      <c r="C21" s="46"/>
      <c r="D21" s="56">
        <f>'Tutorial 2 Sol'!U29</f>
        <v>5230</v>
      </c>
      <c r="E21" s="57"/>
      <c r="G21" s="50"/>
      <c r="H21" s="35"/>
      <c r="I21" s="38">
        <f t="shared" si="6"/>
        <v>5230</v>
      </c>
      <c r="J21" s="57" t="s">
        <v>88</v>
      </c>
      <c r="L21" s="54">
        <f>D47</f>
        <v>43076</v>
      </c>
      <c r="M21" s="28"/>
      <c r="N21" s="38">
        <f>I21+L21-K21</f>
        <v>48306</v>
      </c>
      <c r="R21" s="135"/>
      <c r="AC21" s="4" t="s">
        <v>65</v>
      </c>
      <c r="AE21" s="120"/>
    </row>
    <row r="22" spans="1:32" x14ac:dyDescent="0.35">
      <c r="A22" s="37" t="str">
        <f>'TB @ 30 Sept 2025'!A13</f>
        <v>Sales Revenue</v>
      </c>
      <c r="B22" s="36"/>
      <c r="C22" s="55"/>
      <c r="D22" s="56">
        <f>'Tutorial 2 Sol'!U30</f>
        <v>308300</v>
      </c>
      <c r="E22" s="57" t="str">
        <f>E13</f>
        <v>(b)</v>
      </c>
      <c r="F22" s="49"/>
      <c r="G22" s="54">
        <f>F13</f>
        <v>7250</v>
      </c>
      <c r="H22" s="28"/>
      <c r="I22" s="38">
        <f t="shared" si="6"/>
        <v>315550</v>
      </c>
      <c r="J22" s="57" t="s">
        <v>88</v>
      </c>
      <c r="K22" s="49">
        <f>C37</f>
        <v>315550</v>
      </c>
      <c r="L22" s="54"/>
      <c r="M22" s="28"/>
      <c r="N22" s="38">
        <f t="shared" si="5"/>
        <v>0</v>
      </c>
      <c r="P22" s="58" t="s">
        <v>121</v>
      </c>
      <c r="R22" s="136">
        <f>I22-SUM(H23:H31)</f>
        <v>43076</v>
      </c>
      <c r="AC22" s="37"/>
      <c r="AD22" s="1" t="str">
        <f>A12</f>
        <v>Accounts Payable</v>
      </c>
      <c r="AE22" s="120">
        <f>I12</f>
        <v>16850</v>
      </c>
    </row>
    <row r="23" spans="1:32" x14ac:dyDescent="0.35">
      <c r="A23" s="37" t="str">
        <f>'TB @ 30 Sept 2025'!A14</f>
        <v>Cost of Goods Sold</v>
      </c>
      <c r="B23" s="36"/>
      <c r="C23" s="46">
        <f>'Tutorial 2 Sol'!T31</f>
        <v>111394</v>
      </c>
      <c r="D23" s="47"/>
      <c r="E23" s="48" t="str">
        <f>'Tutorial 3 Sol'!A8</f>
        <v>(b)</v>
      </c>
      <c r="F23" s="49">
        <f>'Tutorial 3 Sol'!D11</f>
        <v>2540</v>
      </c>
      <c r="G23" s="54"/>
      <c r="H23" s="35">
        <f t="shared" ref="H23:H31" si="7">C23+F23-G23</f>
        <v>113934</v>
      </c>
      <c r="I23" s="38"/>
      <c r="J23" s="57" t="s">
        <v>88</v>
      </c>
      <c r="K23" s="49"/>
      <c r="L23" s="54">
        <f>D38</f>
        <v>113934</v>
      </c>
      <c r="M23" s="35">
        <f t="shared" ref="M23:M31" si="8">H23+K23-L23</f>
        <v>0</v>
      </c>
      <c r="N23" s="38"/>
      <c r="R23" s="113"/>
      <c r="AC23" s="37"/>
      <c r="AD23" s="1" t="str">
        <f>A13</f>
        <v>Unearned Revenue</v>
      </c>
      <c r="AE23" s="120">
        <f>I13</f>
        <v>12250</v>
      </c>
    </row>
    <row r="24" spans="1:32" x14ac:dyDescent="0.35">
      <c r="A24" s="37" t="str">
        <f>'TB @ 30 Sept 2025'!A15</f>
        <v>Rent Expense</v>
      </c>
      <c r="B24" s="36"/>
      <c r="C24" s="46">
        <f>'Tutorial 2 Sol'!T32</f>
        <v>6600</v>
      </c>
      <c r="D24" s="47"/>
      <c r="E24" s="57" t="str">
        <f>E7</f>
        <v>(a)</v>
      </c>
      <c r="F24" s="49">
        <f>G7</f>
        <v>6600</v>
      </c>
      <c r="G24" s="50"/>
      <c r="H24" s="35">
        <f t="shared" si="7"/>
        <v>13200</v>
      </c>
      <c r="I24" s="38"/>
      <c r="J24" s="57" t="s">
        <v>88</v>
      </c>
      <c r="K24" s="49"/>
      <c r="L24" s="54">
        <f t="shared" ref="L24:L31" si="9">D39</f>
        <v>13200</v>
      </c>
      <c r="M24" s="35">
        <f t="shared" si="8"/>
        <v>0</v>
      </c>
      <c r="N24" s="38"/>
      <c r="AC24" s="37"/>
      <c r="AD24" s="1" t="str">
        <f>A14</f>
        <v>Consulting Fees Payable</v>
      </c>
      <c r="AE24" s="120">
        <f>I14</f>
        <v>1800</v>
      </c>
    </row>
    <row r="25" spans="1:32" x14ac:dyDescent="0.35">
      <c r="A25" s="37" t="str">
        <f>'TB @ 30 Sept 2025'!A16</f>
        <v>Marketing Expense</v>
      </c>
      <c r="B25" s="36"/>
      <c r="C25" s="46">
        <f>'Tutorial 2 Sol'!T33</f>
        <v>18500</v>
      </c>
      <c r="D25" s="47"/>
      <c r="E25" s="86"/>
      <c r="F25" s="49"/>
      <c r="G25" s="54"/>
      <c r="H25" s="35">
        <f t="shared" si="7"/>
        <v>18500</v>
      </c>
      <c r="I25" s="38"/>
      <c r="J25" s="57" t="s">
        <v>88</v>
      </c>
      <c r="K25" s="49"/>
      <c r="L25" s="54">
        <f t="shared" si="9"/>
        <v>18500</v>
      </c>
      <c r="M25" s="35">
        <f t="shared" si="8"/>
        <v>0</v>
      </c>
      <c r="N25" s="38"/>
      <c r="AC25" s="37"/>
      <c r="AD25" s="1" t="str">
        <f>A15</f>
        <v>Interest Payable</v>
      </c>
      <c r="AE25" s="120">
        <f>I15</f>
        <v>2850</v>
      </c>
    </row>
    <row r="26" spans="1:32" x14ac:dyDescent="0.35">
      <c r="A26" s="37" t="str">
        <f>'TB @ 30 Sept 2025'!A17</f>
        <v>Salaries Expense</v>
      </c>
      <c r="B26" s="36"/>
      <c r="C26" s="46">
        <f>'Tutorial 2 Sol'!T34</f>
        <v>91600</v>
      </c>
      <c r="D26" s="47"/>
      <c r="E26" s="86" t="str">
        <f>'Tutorial 3 Sol'!A23</f>
        <v>(f)</v>
      </c>
      <c r="F26" s="49"/>
      <c r="G26" s="54">
        <f>'Tutorial 3 Sol'!E24</f>
        <v>2200</v>
      </c>
      <c r="H26" s="35">
        <f t="shared" si="7"/>
        <v>89400</v>
      </c>
      <c r="I26" s="38"/>
      <c r="J26" s="57" t="s">
        <v>88</v>
      </c>
      <c r="K26" s="49"/>
      <c r="L26" s="54">
        <f t="shared" si="9"/>
        <v>89400</v>
      </c>
      <c r="M26" s="35">
        <f t="shared" si="8"/>
        <v>0</v>
      </c>
      <c r="N26" s="38"/>
      <c r="AC26" s="37"/>
      <c r="AD26" s="1" t="str">
        <f>A16</f>
        <v>Taxes Payable</v>
      </c>
      <c r="AE26" s="120">
        <f>I16</f>
        <v>4200</v>
      </c>
    </row>
    <row r="27" spans="1:32" x14ac:dyDescent="0.35">
      <c r="A27" s="37" t="str">
        <f>'Tutorial 2 Sol'!N35</f>
        <v>General Admin Expense</v>
      </c>
      <c r="B27" s="36"/>
      <c r="C27" s="46">
        <f>'Tutorial 2 Sol'!T35</f>
        <v>20390</v>
      </c>
      <c r="D27" s="47"/>
      <c r="E27" s="48"/>
      <c r="F27" s="49"/>
      <c r="G27" s="50"/>
      <c r="H27" s="35">
        <f t="shared" si="7"/>
        <v>20390</v>
      </c>
      <c r="I27" s="38"/>
      <c r="J27" s="57" t="s">
        <v>88</v>
      </c>
      <c r="K27" s="49"/>
      <c r="L27" s="54">
        <f t="shared" si="9"/>
        <v>20390</v>
      </c>
      <c r="M27" s="35">
        <f t="shared" si="8"/>
        <v>0</v>
      </c>
      <c r="N27" s="38"/>
      <c r="AC27" s="37"/>
      <c r="AD27" s="1" t="s">
        <v>114</v>
      </c>
      <c r="AE27" s="120">
        <f>N17</f>
        <v>30000</v>
      </c>
    </row>
    <row r="28" spans="1:32" x14ac:dyDescent="0.35">
      <c r="A28" s="37" t="s">
        <v>110</v>
      </c>
      <c r="B28" s="36"/>
      <c r="C28" s="46">
        <v>0</v>
      </c>
      <c r="D28" s="47"/>
      <c r="E28" s="86" t="str">
        <f>'Tutorial 3 Sol'!A17</f>
        <v>(d)</v>
      </c>
      <c r="F28" s="49">
        <f>'Tutorial 3 Sol'!D17</f>
        <v>1800</v>
      </c>
      <c r="G28" s="50"/>
      <c r="H28" s="35">
        <f t="shared" si="7"/>
        <v>1800</v>
      </c>
      <c r="I28" s="38"/>
      <c r="J28" s="57" t="s">
        <v>88</v>
      </c>
      <c r="K28" s="49"/>
      <c r="L28" s="54">
        <f t="shared" si="9"/>
        <v>1800</v>
      </c>
      <c r="M28" s="35">
        <f t="shared" si="8"/>
        <v>0</v>
      </c>
      <c r="N28" s="38"/>
      <c r="AC28" s="4"/>
      <c r="AD28" s="1" t="s">
        <v>66</v>
      </c>
      <c r="AE28" s="126">
        <f>SUM(AE22:AE27)</f>
        <v>67950</v>
      </c>
    </row>
    <row r="29" spans="1:32" x14ac:dyDescent="0.35">
      <c r="A29" s="37" t="s">
        <v>41</v>
      </c>
      <c r="B29" s="36"/>
      <c r="C29" s="46">
        <v>0</v>
      </c>
      <c r="D29" s="47"/>
      <c r="E29" s="48" t="str">
        <f>'Tutorial 3 Sol'!A20</f>
        <v xml:space="preserve">(e) </v>
      </c>
      <c r="F29" s="49">
        <f>'Tutorial 3 Sol'!D20</f>
        <v>8200</v>
      </c>
      <c r="G29" s="50"/>
      <c r="H29" s="35">
        <f t="shared" si="7"/>
        <v>8200</v>
      </c>
      <c r="I29" s="38"/>
      <c r="J29" s="57" t="s">
        <v>88</v>
      </c>
      <c r="K29" s="49"/>
      <c r="L29" s="54">
        <f t="shared" si="9"/>
        <v>8200</v>
      </c>
      <c r="M29" s="35">
        <f t="shared" si="8"/>
        <v>0</v>
      </c>
      <c r="N29" s="38"/>
      <c r="AC29" s="4" t="s">
        <v>67</v>
      </c>
      <c r="AE29" s="120"/>
    </row>
    <row r="30" spans="1:32" x14ac:dyDescent="0.35">
      <c r="A30" s="37" t="s">
        <v>0</v>
      </c>
      <c r="B30" s="36"/>
      <c r="C30" s="46">
        <v>0</v>
      </c>
      <c r="D30" s="47"/>
      <c r="E30" s="57" t="str">
        <f>'Tutorial 3 Sol'!A14</f>
        <v xml:space="preserve">(c) </v>
      </c>
      <c r="F30" s="49">
        <f>'Tutorial 3 Sol'!D14</f>
        <v>2850</v>
      </c>
      <c r="G30" s="50"/>
      <c r="H30" s="35">
        <f t="shared" si="7"/>
        <v>2850</v>
      </c>
      <c r="I30" s="38"/>
      <c r="J30" s="57" t="s">
        <v>88</v>
      </c>
      <c r="K30" s="49"/>
      <c r="L30" s="54">
        <f t="shared" si="9"/>
        <v>2850</v>
      </c>
      <c r="M30" s="35">
        <f t="shared" si="8"/>
        <v>0</v>
      </c>
      <c r="N30" s="38"/>
      <c r="AC30" s="4"/>
      <c r="AD30" s="1" t="str">
        <f>A18</f>
        <v>Long-term Debt</v>
      </c>
      <c r="AE30" s="121">
        <f>I18</f>
        <v>50000</v>
      </c>
    </row>
    <row r="31" spans="1:32" x14ac:dyDescent="0.35">
      <c r="A31" s="37" t="s">
        <v>43</v>
      </c>
      <c r="B31" s="36"/>
      <c r="C31" s="46">
        <v>0</v>
      </c>
      <c r="D31" s="47"/>
      <c r="E31" s="86" t="str">
        <f>'Tutorial 3 Sol'!A26</f>
        <v>(g)</v>
      </c>
      <c r="F31" s="49">
        <f>'Tutorial 3 Sol'!D26</f>
        <v>4200</v>
      </c>
      <c r="G31" s="50"/>
      <c r="H31" s="35">
        <f t="shared" si="7"/>
        <v>4200</v>
      </c>
      <c r="I31" s="38"/>
      <c r="J31" s="57" t="s">
        <v>88</v>
      </c>
      <c r="K31" s="49"/>
      <c r="L31" s="54">
        <f t="shared" si="9"/>
        <v>4200</v>
      </c>
      <c r="M31" s="35">
        <f t="shared" si="8"/>
        <v>0</v>
      </c>
      <c r="N31" s="38"/>
      <c r="AC31" s="4"/>
      <c r="AD31" s="1" t="s">
        <v>122</v>
      </c>
      <c r="AE31" s="121">
        <f>AE30</f>
        <v>50000</v>
      </c>
      <c r="AF31" s="49"/>
    </row>
    <row r="32" spans="1:32" x14ac:dyDescent="0.35">
      <c r="A32" s="59"/>
      <c r="B32" s="94"/>
      <c r="C32" s="60">
        <f>SUM(C5:C31)</f>
        <v>1079880</v>
      </c>
      <c r="D32" s="61">
        <f>SUM(D5:D31)</f>
        <v>1079880</v>
      </c>
      <c r="E32" s="62"/>
      <c r="F32" s="62">
        <f>SUM(F5:F31)</f>
        <v>35640</v>
      </c>
      <c r="G32" s="95">
        <f>SUM(G5:G31)</f>
        <v>35640</v>
      </c>
      <c r="H32" s="65">
        <f>SUM(H5:H31)</f>
        <v>1096930</v>
      </c>
      <c r="I32" s="61">
        <f>SUM(I5:I31)</f>
        <v>1096930</v>
      </c>
      <c r="J32" s="62"/>
      <c r="K32" s="62">
        <f>SUM(K5:K31)</f>
        <v>315550</v>
      </c>
      <c r="L32" s="95">
        <f>SUM(L5:L31)</f>
        <v>315550</v>
      </c>
      <c r="M32" s="65">
        <f>SUM(M5:M31)</f>
        <v>824456</v>
      </c>
      <c r="N32" s="61">
        <f>SUM(N5:N31)</f>
        <v>824456</v>
      </c>
      <c r="AC32" s="4" t="s">
        <v>10</v>
      </c>
      <c r="AE32" s="121">
        <f>AE28+AE31</f>
        <v>117950</v>
      </c>
      <c r="AF32" s="49"/>
    </row>
    <row r="33" spans="1:32" x14ac:dyDescent="0.35">
      <c r="D33" s="76">
        <f>C32-D32</f>
        <v>0</v>
      </c>
      <c r="G33" s="76"/>
      <c r="H33" s="77"/>
      <c r="I33" s="76">
        <f>H32-I32</f>
        <v>0</v>
      </c>
      <c r="L33" s="76"/>
      <c r="M33" s="77"/>
      <c r="N33" s="76">
        <f>M32-N32</f>
        <v>0</v>
      </c>
      <c r="AC33" s="37" t="s">
        <v>11</v>
      </c>
      <c r="AE33" s="120"/>
    </row>
    <row r="34" spans="1:32" x14ac:dyDescent="0.35">
      <c r="A34" s="1"/>
      <c r="B34" s="1"/>
      <c r="C34" s="97"/>
      <c r="D34" s="53"/>
      <c r="H34" s="97"/>
      <c r="I34" s="53"/>
      <c r="M34" s="97"/>
      <c r="N34" s="53"/>
      <c r="AC34" s="96" t="str">
        <f>A19</f>
        <v>Share Capital - Ordinary Shares</v>
      </c>
      <c r="AE34" s="120">
        <f>U12</f>
        <v>450000</v>
      </c>
    </row>
    <row r="35" spans="1:32" x14ac:dyDescent="0.35">
      <c r="A35" s="6" t="s">
        <v>27</v>
      </c>
      <c r="B35" s="6"/>
      <c r="C35" s="7"/>
      <c r="D35" s="7"/>
      <c r="E35" s="83"/>
      <c r="F35" s="83"/>
      <c r="G35" s="83"/>
      <c r="H35" s="103"/>
      <c r="I35" s="104"/>
      <c r="M35" s="97"/>
      <c r="N35" s="53"/>
      <c r="AC35" s="96" t="str">
        <f>A20</f>
        <v>Share Capital - Preference Shares (cumulative)</v>
      </c>
      <c r="AE35" s="120">
        <f>W12</f>
        <v>200000</v>
      </c>
      <c r="AF35" s="53"/>
    </row>
    <row r="36" spans="1:32" x14ac:dyDescent="0.35">
      <c r="A36" s="58" t="s">
        <v>116</v>
      </c>
      <c r="H36" s="53"/>
      <c r="I36" s="53"/>
      <c r="M36" s="97"/>
      <c r="N36" s="53"/>
      <c r="AC36" s="96" t="s">
        <v>68</v>
      </c>
      <c r="AE36" s="121">
        <f>Y12</f>
        <v>48306</v>
      </c>
      <c r="AF36" s="49"/>
    </row>
    <row r="37" spans="1:32" x14ac:dyDescent="0.35">
      <c r="A37" s="28" t="str">
        <f>A22</f>
        <v>Sales Revenue</v>
      </c>
      <c r="B37" s="28"/>
      <c r="C37" s="35">
        <f>I22</f>
        <v>315550</v>
      </c>
      <c r="D37" s="28"/>
      <c r="E37" s="1"/>
      <c r="H37" s="53"/>
      <c r="I37" s="53"/>
      <c r="M37" s="97"/>
      <c r="N37" s="53"/>
      <c r="AC37" s="4" t="s">
        <v>69</v>
      </c>
      <c r="AE37" s="121">
        <f>SUM(AE34:AE36)</f>
        <v>698306</v>
      </c>
    </row>
    <row r="38" spans="1:32" x14ac:dyDescent="0.35">
      <c r="A38" s="28"/>
      <c r="B38" s="28" t="str">
        <f t="shared" ref="B38:B46" si="10">A23</f>
        <v>Cost of Goods Sold</v>
      </c>
      <c r="C38" s="28"/>
      <c r="D38" s="35">
        <f>H23</f>
        <v>113934</v>
      </c>
      <c r="E38" s="1"/>
      <c r="H38" s="53"/>
      <c r="I38" s="53"/>
      <c r="M38" s="97"/>
      <c r="N38" s="53"/>
      <c r="AC38" s="59" t="s">
        <v>70</v>
      </c>
      <c r="AD38" s="2"/>
      <c r="AE38" s="127">
        <f>AE37+AE32</f>
        <v>816256</v>
      </c>
    </row>
    <row r="39" spans="1:32" x14ac:dyDescent="0.35">
      <c r="A39" s="28"/>
      <c r="B39" s="28" t="str">
        <f t="shared" si="10"/>
        <v>Rent Expense</v>
      </c>
      <c r="C39" s="28"/>
      <c r="D39" s="35">
        <f t="shared" ref="D39:D46" si="11">H24</f>
        <v>13200</v>
      </c>
      <c r="E39" s="1"/>
      <c r="H39" s="53"/>
      <c r="I39" s="53"/>
      <c r="M39" s="97"/>
      <c r="N39" s="53"/>
      <c r="AC39" s="98"/>
      <c r="AD39" s="99"/>
      <c r="AE39" s="100"/>
    </row>
    <row r="40" spans="1:32" x14ac:dyDescent="0.35">
      <c r="A40" s="28"/>
      <c r="B40" s="28" t="str">
        <f t="shared" si="10"/>
        <v>Marketing Expense</v>
      </c>
      <c r="C40" s="28"/>
      <c r="D40" s="35">
        <f t="shared" si="11"/>
        <v>18500</v>
      </c>
      <c r="E40" s="1"/>
      <c r="H40" s="53"/>
      <c r="I40" s="53"/>
      <c r="M40" s="97"/>
      <c r="N40" s="53"/>
      <c r="AC40" s="101"/>
      <c r="AE40" s="102"/>
    </row>
    <row r="41" spans="1:32" x14ac:dyDescent="0.35">
      <c r="A41" s="28"/>
      <c r="B41" s="28" t="str">
        <f t="shared" si="10"/>
        <v>Salaries Expense</v>
      </c>
      <c r="C41" s="28"/>
      <c r="D41" s="35">
        <f t="shared" si="11"/>
        <v>89400</v>
      </c>
      <c r="E41" s="1"/>
      <c r="H41" s="53"/>
      <c r="I41" s="53"/>
      <c r="M41" s="97"/>
      <c r="N41" s="53"/>
      <c r="AC41" s="101"/>
      <c r="AE41" s="102"/>
    </row>
    <row r="42" spans="1:32" x14ac:dyDescent="0.35">
      <c r="A42" s="28"/>
      <c r="B42" s="28" t="str">
        <f t="shared" si="10"/>
        <v>General Admin Expense</v>
      </c>
      <c r="C42" s="28"/>
      <c r="D42" s="35">
        <f t="shared" si="11"/>
        <v>20390</v>
      </c>
      <c r="E42" s="1"/>
      <c r="H42" s="53"/>
      <c r="I42" s="53"/>
      <c r="M42" s="97"/>
      <c r="N42" s="53"/>
      <c r="AC42" s="101"/>
      <c r="AE42" s="102"/>
    </row>
    <row r="43" spans="1:32" x14ac:dyDescent="0.35">
      <c r="A43" s="28"/>
      <c r="B43" s="28" t="str">
        <f t="shared" si="10"/>
        <v xml:space="preserve">Consulting Fees </v>
      </c>
      <c r="C43" s="28"/>
      <c r="D43" s="35">
        <f t="shared" si="11"/>
        <v>1800</v>
      </c>
      <c r="E43" s="1"/>
      <c r="H43" s="53"/>
      <c r="I43" s="53"/>
      <c r="M43" s="97"/>
      <c r="N43" s="53"/>
      <c r="AC43" s="101"/>
      <c r="AE43" s="102"/>
    </row>
    <row r="44" spans="1:32" x14ac:dyDescent="0.35">
      <c r="A44" s="28"/>
      <c r="B44" s="28" t="str">
        <f t="shared" si="10"/>
        <v>Depreciation Expense</v>
      </c>
      <c r="C44" s="28"/>
      <c r="D44" s="35">
        <f t="shared" si="11"/>
        <v>8200</v>
      </c>
      <c r="E44" s="1"/>
      <c r="H44" s="53"/>
      <c r="I44" s="53"/>
      <c r="M44" s="97"/>
      <c r="N44" s="53"/>
      <c r="AC44" s="101"/>
      <c r="AE44" s="102"/>
    </row>
    <row r="45" spans="1:32" x14ac:dyDescent="0.35">
      <c r="A45" s="28"/>
      <c r="B45" s="28" t="str">
        <f t="shared" si="10"/>
        <v>Interest Expense</v>
      </c>
      <c r="C45" s="28"/>
      <c r="D45" s="35">
        <f t="shared" si="11"/>
        <v>2850</v>
      </c>
      <c r="E45" s="1"/>
      <c r="H45" s="53"/>
      <c r="I45" s="53"/>
      <c r="M45" s="97"/>
      <c r="N45" s="53"/>
      <c r="AC45" s="101"/>
      <c r="AE45" s="102"/>
    </row>
    <row r="46" spans="1:32" ht="15.65" customHeight="1" x14ac:dyDescent="0.35">
      <c r="A46" s="28"/>
      <c r="B46" s="28" t="str">
        <f t="shared" si="10"/>
        <v>Income Tax Expense</v>
      </c>
      <c r="C46" s="28"/>
      <c r="D46" s="35">
        <f t="shared" si="11"/>
        <v>4200</v>
      </c>
      <c r="E46" s="1"/>
      <c r="H46" s="53"/>
      <c r="I46" s="53"/>
      <c r="M46" s="97"/>
      <c r="N46" s="53"/>
      <c r="AC46" s="101"/>
      <c r="AE46" s="102"/>
    </row>
    <row r="47" spans="1:32" x14ac:dyDescent="0.35">
      <c r="A47" s="28"/>
      <c r="B47" s="28" t="s">
        <v>68</v>
      </c>
      <c r="C47" s="28"/>
      <c r="D47" s="35">
        <f>C37-SUM(D38:D46)</f>
        <v>43076</v>
      </c>
      <c r="E47" s="1"/>
      <c r="H47" s="53"/>
      <c r="I47" s="53"/>
      <c r="M47" s="97"/>
      <c r="N47" s="53"/>
    </row>
    <row r="48" spans="1:32" x14ac:dyDescent="0.35">
      <c r="H48" s="53"/>
      <c r="I48" s="53"/>
      <c r="M48" s="97"/>
      <c r="N48" s="53"/>
    </row>
    <row r="49" spans="1:31" ht="14.4" customHeight="1" x14ac:dyDescent="0.35">
      <c r="M49" s="97"/>
      <c r="N49" s="53"/>
    </row>
    <row r="50" spans="1:31" x14ac:dyDescent="0.35">
      <c r="A50" s="6" t="s">
        <v>28</v>
      </c>
      <c r="B50" s="83"/>
      <c r="C50" s="7"/>
      <c r="D50" s="7"/>
      <c r="E50" s="83"/>
      <c r="F50" s="83"/>
      <c r="G50" s="83"/>
      <c r="H50" s="7"/>
      <c r="I50" s="7"/>
      <c r="M50" s="97"/>
      <c r="N50" s="53"/>
    </row>
    <row r="51" spans="1:31" s="28" customFormat="1" ht="14.4" customHeight="1" x14ac:dyDescent="0.35">
      <c r="A51" s="1"/>
      <c r="B51" s="1"/>
      <c r="C51" s="155" t="s">
        <v>124</v>
      </c>
      <c r="D51" s="155"/>
      <c r="E51" s="1"/>
      <c r="F51" s="1"/>
      <c r="G51" s="1"/>
      <c r="H51" s="1"/>
      <c r="I51" s="1"/>
      <c r="J51" s="58"/>
      <c r="K51" s="58"/>
      <c r="L51" s="58"/>
      <c r="M51" s="97"/>
      <c r="N51" s="53"/>
      <c r="P51" s="1"/>
      <c r="Q51" s="1"/>
      <c r="R51" s="1"/>
      <c r="AC51" s="1"/>
      <c r="AD51" s="1"/>
      <c r="AE51" s="1"/>
    </row>
    <row r="52" spans="1:31" x14ac:dyDescent="0.35">
      <c r="A52" s="28" t="s">
        <v>71</v>
      </c>
      <c r="B52" s="28" t="s">
        <v>72</v>
      </c>
      <c r="C52" s="166">
        <f>C53/C54</f>
        <v>0.13651085406433211</v>
      </c>
      <c r="D52" s="166"/>
      <c r="E52" s="1"/>
      <c r="F52" s="1"/>
      <c r="G52" s="1"/>
      <c r="M52" s="97"/>
      <c r="N52" s="53"/>
      <c r="P52" s="28"/>
      <c r="Q52" s="28"/>
      <c r="R52" s="28"/>
    </row>
    <row r="53" spans="1:31" x14ac:dyDescent="0.35">
      <c r="A53" s="1"/>
      <c r="B53" s="1" t="s">
        <v>57</v>
      </c>
      <c r="C53" s="154">
        <f>R20</f>
        <v>43076</v>
      </c>
      <c r="D53" s="154"/>
      <c r="E53" s="1"/>
      <c r="F53" s="1"/>
      <c r="G53" s="1"/>
      <c r="M53" s="97"/>
      <c r="N53" s="53"/>
    </row>
    <row r="54" spans="1:31" x14ac:dyDescent="0.35">
      <c r="A54" s="1"/>
      <c r="B54" s="1" t="s">
        <v>73</v>
      </c>
      <c r="C54" s="154">
        <f>R7</f>
        <v>315550</v>
      </c>
      <c r="D54" s="154"/>
      <c r="E54" s="1"/>
      <c r="F54" s="1"/>
      <c r="G54" s="1"/>
      <c r="M54" s="97"/>
      <c r="N54" s="53"/>
    </row>
    <row r="55" spans="1:31" x14ac:dyDescent="0.35">
      <c r="A55" s="1"/>
      <c r="B55" s="1"/>
      <c r="C55" s="165"/>
      <c r="D55" s="165"/>
      <c r="E55" s="1"/>
      <c r="F55" s="1"/>
      <c r="G55" s="1"/>
      <c r="M55" s="97"/>
      <c r="N55" s="53"/>
    </row>
    <row r="56" spans="1:31" x14ac:dyDescent="0.35">
      <c r="A56" s="28" t="s">
        <v>74</v>
      </c>
      <c r="B56" s="28" t="s">
        <v>75</v>
      </c>
      <c r="C56" s="166">
        <f>C57/C60</f>
        <v>6.6780044121089607E-2</v>
      </c>
      <c r="D56" s="166"/>
      <c r="E56" s="28"/>
      <c r="F56" s="1"/>
      <c r="G56" s="1"/>
      <c r="H56" s="28"/>
      <c r="I56" s="28"/>
      <c r="M56" s="97"/>
      <c r="N56" s="53"/>
      <c r="AC56" s="28"/>
      <c r="AD56" s="28"/>
      <c r="AE56" s="28"/>
    </row>
    <row r="57" spans="1:31" s="28" customFormat="1" x14ac:dyDescent="0.35">
      <c r="A57" s="1"/>
      <c r="B57" s="1" t="s">
        <v>57</v>
      </c>
      <c r="C57" s="154">
        <f>C53</f>
        <v>43076</v>
      </c>
      <c r="D57" s="154"/>
      <c r="E57" s="1"/>
      <c r="F57" s="1"/>
      <c r="G57" s="1"/>
      <c r="H57" s="1"/>
      <c r="I57" s="1"/>
      <c r="J57" s="58"/>
      <c r="K57" s="58"/>
      <c r="L57" s="58"/>
      <c r="M57" s="97"/>
      <c r="N57" s="53"/>
      <c r="P57" s="1"/>
      <c r="Q57" s="1"/>
      <c r="R57" s="1"/>
      <c r="AC57" s="1"/>
      <c r="AD57" s="1"/>
      <c r="AE57" s="1"/>
    </row>
    <row r="58" spans="1:31" x14ac:dyDescent="0.35">
      <c r="A58" s="1"/>
      <c r="B58" s="1" t="s">
        <v>76</v>
      </c>
      <c r="C58" s="154">
        <f>'Tutorial 2 Sol'!X7</f>
        <v>473830</v>
      </c>
      <c r="D58" s="154"/>
      <c r="E58" s="1"/>
      <c r="F58" s="1"/>
      <c r="G58" s="1"/>
      <c r="M58" s="97"/>
      <c r="N58" s="53"/>
      <c r="P58" s="28"/>
      <c r="Q58" s="28"/>
      <c r="R58" s="28"/>
    </row>
    <row r="59" spans="1:31" x14ac:dyDescent="0.35">
      <c r="A59" s="1"/>
      <c r="B59" s="1" t="s">
        <v>77</v>
      </c>
      <c r="C59" s="154">
        <f>AE18</f>
        <v>816256</v>
      </c>
      <c r="D59" s="154"/>
      <c r="E59" s="1"/>
      <c r="F59" s="1"/>
      <c r="G59" s="1"/>
      <c r="M59" s="97"/>
      <c r="N59" s="53"/>
    </row>
    <row r="60" spans="1:31" x14ac:dyDescent="0.35">
      <c r="A60" s="1"/>
      <c r="B60" s="1" t="s">
        <v>78</v>
      </c>
      <c r="C60" s="154">
        <f>SUM(C58:C59)/2</f>
        <v>645043</v>
      </c>
      <c r="D60" s="154"/>
      <c r="E60" s="1"/>
      <c r="F60" s="1"/>
      <c r="G60" s="1"/>
      <c r="M60" s="97"/>
      <c r="N60" s="53"/>
    </row>
    <row r="61" spans="1:31" x14ac:dyDescent="0.35">
      <c r="A61" s="1"/>
      <c r="B61" s="1"/>
      <c r="C61" s="165"/>
      <c r="D61" s="165"/>
      <c r="E61" s="1"/>
      <c r="F61" s="1"/>
      <c r="G61" s="1"/>
      <c r="M61" s="97"/>
      <c r="N61" s="53"/>
    </row>
    <row r="62" spans="1:31" x14ac:dyDescent="0.35">
      <c r="A62" s="28" t="s">
        <v>79</v>
      </c>
      <c r="B62" s="28" t="s">
        <v>29</v>
      </c>
      <c r="C62" s="180">
        <f>C63/C64</f>
        <v>0.14450123490669595</v>
      </c>
      <c r="D62" s="180"/>
      <c r="E62" s="28"/>
      <c r="F62" s="1"/>
      <c r="G62" s="1"/>
      <c r="H62" s="28"/>
      <c r="I62" s="28"/>
      <c r="M62" s="97"/>
      <c r="N62" s="53"/>
      <c r="AC62" s="28"/>
      <c r="AD62" s="28"/>
      <c r="AE62" s="28"/>
    </row>
    <row r="63" spans="1:31" x14ac:dyDescent="0.35">
      <c r="A63" s="1"/>
      <c r="B63" s="1" t="s">
        <v>10</v>
      </c>
      <c r="C63" s="154">
        <f>AE32</f>
        <v>117950</v>
      </c>
      <c r="D63" s="154"/>
      <c r="E63" s="1"/>
      <c r="F63" s="1"/>
      <c r="G63" s="1"/>
      <c r="M63" s="97"/>
      <c r="N63" s="53"/>
    </row>
    <row r="64" spans="1:31" x14ac:dyDescent="0.35">
      <c r="A64" s="1"/>
      <c r="B64" s="1" t="s">
        <v>8</v>
      </c>
      <c r="C64" s="154">
        <f>AE18</f>
        <v>816256</v>
      </c>
      <c r="D64" s="154"/>
      <c r="E64" s="1"/>
      <c r="F64" s="1"/>
      <c r="G64" s="1"/>
      <c r="M64" s="97"/>
      <c r="N64" s="53"/>
      <c r="O64" s="105"/>
    </row>
    <row r="65" spans="1:14" x14ac:dyDescent="0.35">
      <c r="A65" s="1"/>
      <c r="B65" s="1"/>
      <c r="E65" s="1"/>
      <c r="F65" s="1"/>
      <c r="G65" s="1"/>
      <c r="M65" s="97"/>
      <c r="N65" s="53"/>
    </row>
    <row r="66" spans="1:14" x14ac:dyDescent="0.35">
      <c r="A66" s="1"/>
      <c r="B66" s="1"/>
      <c r="E66" s="1"/>
      <c r="F66" s="1"/>
      <c r="G66" s="1"/>
      <c r="M66" s="97"/>
      <c r="N66" s="53"/>
    </row>
    <row r="67" spans="1:14" x14ac:dyDescent="0.35">
      <c r="F67" s="1"/>
      <c r="G67" s="1"/>
      <c r="M67" s="97"/>
      <c r="N67" s="53"/>
    </row>
    <row r="68" spans="1:14" x14ac:dyDescent="0.35">
      <c r="M68" s="97"/>
      <c r="N68" s="53"/>
    </row>
    <row r="69" spans="1:14" x14ac:dyDescent="0.35">
      <c r="M69" s="97"/>
      <c r="N69" s="53"/>
    </row>
  </sheetData>
  <mergeCells count="29">
    <mergeCell ref="C61:D61"/>
    <mergeCell ref="C62:D62"/>
    <mergeCell ref="C63:D63"/>
    <mergeCell ref="C64:D64"/>
    <mergeCell ref="C60:D60"/>
    <mergeCell ref="C56:D56"/>
    <mergeCell ref="A3:B4"/>
    <mergeCell ref="C3:D3"/>
    <mergeCell ref="H3:I3"/>
    <mergeCell ref="P3:R3"/>
    <mergeCell ref="E3:G3"/>
    <mergeCell ref="J3:L3"/>
    <mergeCell ref="M3:N3"/>
    <mergeCell ref="C57:D57"/>
    <mergeCell ref="C58:D58"/>
    <mergeCell ref="C59:D59"/>
    <mergeCell ref="C51:D51"/>
    <mergeCell ref="AC3:AE3"/>
    <mergeCell ref="P4:R4"/>
    <mergeCell ref="T4:AA4"/>
    <mergeCell ref="AC4:AE4"/>
    <mergeCell ref="P5:R5"/>
    <mergeCell ref="T5:AA5"/>
    <mergeCell ref="AC5:AE5"/>
    <mergeCell ref="T3:AA3"/>
    <mergeCell ref="C55:D55"/>
    <mergeCell ref="C52:D52"/>
    <mergeCell ref="C53:D53"/>
    <mergeCell ref="C54:D54"/>
  </mergeCells>
  <pageMargins left="0.7" right="0.7" top="0.75" bottom="0.75" header="0.3" footer="0.3"/>
  <pageSetup orientation="portrait" horizontalDpi="4294967295" verticalDpi="4294967295" r:id="rId1"/>
  <ignoredErrors>
    <ignoredError sqref="R1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6482-91FF-49B4-9626-AABFE67D9B42}">
  <dimension ref="A1:D15"/>
  <sheetViews>
    <sheetView workbookViewId="0">
      <selection activeCell="D20" sqref="D20"/>
    </sheetView>
  </sheetViews>
  <sheetFormatPr defaultRowHeight="14.5" x14ac:dyDescent="0.35"/>
  <cols>
    <col min="1" max="1" width="42.08984375" customWidth="1"/>
    <col min="2" max="2" width="12.453125" customWidth="1"/>
    <col min="3" max="3" width="15.453125" customWidth="1"/>
    <col min="4" max="4" width="9.1796875" bestFit="1" customWidth="1"/>
  </cols>
  <sheetData>
    <row r="1" spans="1:4" ht="15.65" customHeight="1" x14ac:dyDescent="0.35">
      <c r="A1" s="181" t="s">
        <v>95</v>
      </c>
      <c r="B1" s="181"/>
      <c r="C1" s="181"/>
    </row>
    <row r="2" spans="1:4" ht="15.65" customHeight="1" x14ac:dyDescent="0.35">
      <c r="A2" s="22" t="s">
        <v>99</v>
      </c>
      <c r="B2" s="9" t="s">
        <v>12</v>
      </c>
      <c r="C2" s="21" t="s">
        <v>13</v>
      </c>
    </row>
    <row r="3" spans="1:4" ht="15.65" customHeight="1" x14ac:dyDescent="0.35">
      <c r="A3" s="4" t="str">
        <f>'TB @ 30 Sept 2025'!A3</f>
        <v>Cash</v>
      </c>
      <c r="B3" s="24">
        <v>350130</v>
      </c>
      <c r="C3" s="25"/>
    </row>
    <row r="4" spans="1:4" ht="15.65" customHeight="1" x14ac:dyDescent="0.35">
      <c r="A4" s="4" t="str">
        <f>'TB @ 30 Sept 2025'!A4</f>
        <v>Accounts Receivable</v>
      </c>
      <c r="B4" s="24">
        <v>21700</v>
      </c>
      <c r="C4" s="25"/>
      <c r="D4" s="107"/>
    </row>
    <row r="5" spans="1:4" ht="15.65" customHeight="1" x14ac:dyDescent="0.35">
      <c r="A5" s="4" t="str">
        <f>'TB @ 30 Sept 2025'!A6</f>
        <v>Inventory</v>
      </c>
      <c r="B5" s="24">
        <v>102000</v>
      </c>
      <c r="C5" s="25"/>
    </row>
    <row r="6" spans="1:4" ht="15.65" customHeight="1" x14ac:dyDescent="0.35">
      <c r="A6" s="4" t="str">
        <f>'TB @ 30 Sept 2025'!A7</f>
        <v>Accounts Payable</v>
      </c>
      <c r="B6" s="24"/>
      <c r="C6" s="25">
        <v>18600</v>
      </c>
    </row>
    <row r="7" spans="1:4" ht="15.65" customHeight="1" x14ac:dyDescent="0.35">
      <c r="A7" s="4" t="str">
        <f>'TB @ 30 Sept 2025'!A9</f>
        <v>Long-term Debt</v>
      </c>
      <c r="B7" s="24"/>
      <c r="C7" s="25">
        <f>'TB @ 30 Sept 2025'!C9</f>
        <v>50000</v>
      </c>
    </row>
    <row r="8" spans="1:4" ht="15.65" customHeight="1" x14ac:dyDescent="0.35">
      <c r="A8" s="4" t="str">
        <f>'TB @ 30 Sept 2025'!A10</f>
        <v>Share Capital - Ordinary Shares</v>
      </c>
      <c r="B8" s="24"/>
      <c r="C8" s="25">
        <f>'TB @ 30 Sept 2025'!C10</f>
        <v>200000</v>
      </c>
    </row>
    <row r="9" spans="1:4" ht="15.65" customHeight="1" x14ac:dyDescent="0.35">
      <c r="A9" s="4" t="str">
        <f>'TB @ 30 Sept 2025'!A11</f>
        <v>Share Capital - Preference Shares (cumulative)</v>
      </c>
      <c r="B9" s="24"/>
      <c r="C9" s="25">
        <f>'TB @ 30 Sept 2025'!C11</f>
        <v>200000</v>
      </c>
    </row>
    <row r="10" spans="1:4" ht="15.65" customHeight="1" x14ac:dyDescent="0.35">
      <c r="A10" s="4" t="str">
        <f>'TB @ 30 Sept 2025'!A12</f>
        <v>Retained Earnings  (@ 31 Dec 2024)</v>
      </c>
      <c r="B10" s="24"/>
      <c r="C10" s="25">
        <f>'TB @ 30 Sept 2025'!C12</f>
        <v>5230</v>
      </c>
    </row>
    <row r="11" spans="1:4" ht="15.65" customHeight="1" x14ac:dyDescent="0.35">
      <c r="A11" s="23"/>
      <c r="B11" s="27">
        <f>SUM(B3:B10)</f>
        <v>473830</v>
      </c>
      <c r="C11" s="27">
        <f>SUM(C3:C10)</f>
        <v>473830</v>
      </c>
      <c r="D11" s="107"/>
    </row>
    <row r="12" spans="1:4" ht="15.65" customHeight="1" x14ac:dyDescent="0.35">
      <c r="B12" s="3"/>
      <c r="C12" s="3"/>
    </row>
    <row r="13" spans="1:4" x14ac:dyDescent="0.35">
      <c r="A13" t="s">
        <v>8</v>
      </c>
      <c r="B13" s="107">
        <f>SUM(B3:B5)</f>
        <v>473830</v>
      </c>
    </row>
    <row r="14" spans="1:4" x14ac:dyDescent="0.35">
      <c r="A14" t="s">
        <v>10</v>
      </c>
      <c r="C14" s="107">
        <f>SUM(C6:C7)</f>
        <v>68600</v>
      </c>
    </row>
    <row r="15" spans="1:4" x14ac:dyDescent="0.35">
      <c r="A15" t="s">
        <v>69</v>
      </c>
      <c r="C15" s="107">
        <f>SUM(C8:C10)</f>
        <v>405230</v>
      </c>
      <c r="D15" s="107"/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16FBF6E6E37447827B60E0C4C792C8" ma:contentTypeVersion="18" ma:contentTypeDescription="Create a new document." ma:contentTypeScope="" ma:versionID="ecd487ed8db3878f6fc752d3e839d19d">
  <xsd:schema xmlns:xsd="http://www.w3.org/2001/XMLSchema" xmlns:xs="http://www.w3.org/2001/XMLSchema" xmlns:p="http://schemas.microsoft.com/office/2006/metadata/properties" xmlns:ns3="a53cfe13-88a2-4d8a-921a-26acc93ffab7" xmlns:ns4="e3370fb0-917d-486d-8ec5-33c5248dbdec" targetNamespace="http://schemas.microsoft.com/office/2006/metadata/properties" ma:root="true" ma:fieldsID="1a9372c9027c374d89d663cf2361a631" ns3:_="" ns4:_="">
    <xsd:import namespace="a53cfe13-88a2-4d8a-921a-26acc93ffab7"/>
    <xsd:import namespace="e3370fb0-917d-486d-8ec5-33c5248dbd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cfe13-88a2-4d8a-921a-26acc93ff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0fb0-917d-486d-8ec5-33c5248dbde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53cfe13-88a2-4d8a-921a-26acc93ffab7" xsi:nil="true"/>
  </documentManagement>
</p:properties>
</file>

<file path=customXml/itemProps1.xml><?xml version="1.0" encoding="utf-8"?>
<ds:datastoreItem xmlns:ds="http://schemas.openxmlformats.org/officeDocument/2006/customXml" ds:itemID="{52A133E6-4AD2-4E55-8C16-45E21EFF23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C60337-E26F-4C85-A752-F138A6903E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3cfe13-88a2-4d8a-921a-26acc93ffab7"/>
    <ds:schemaRef ds:uri="e3370fb0-917d-486d-8ec5-33c5248dbd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0B9661-662C-4790-842A-C8BFD41F756E}">
  <ds:schemaRefs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e3370fb0-917d-486d-8ec5-33c5248dbdec"/>
    <ds:schemaRef ds:uri="http://www.w3.org/XML/1998/namespace"/>
    <ds:schemaRef ds:uri="http://purl.org/dc/terms/"/>
    <ds:schemaRef ds:uri="http://schemas.openxmlformats.org/package/2006/metadata/core-properties"/>
    <ds:schemaRef ds:uri="a53cfe13-88a2-4d8a-921a-26acc93ffab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TB @ 30 Sept 2025</vt:lpstr>
      <vt:lpstr>Tutorial 2 Sol</vt:lpstr>
      <vt:lpstr>Tutorial 3 Sol</vt:lpstr>
      <vt:lpstr>Tutorial 4 Sol</vt:lpstr>
      <vt:lpstr>TB @ 31 Dec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Hanny Kusnadi</dc:creator>
  <cp:lastModifiedBy>Hanny Kusnadi</cp:lastModifiedBy>
  <dcterms:created xsi:type="dcterms:W3CDTF">2022-06-06T03:14:46Z</dcterms:created>
  <dcterms:modified xsi:type="dcterms:W3CDTF">2025-09-10T03:32:30Z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0x0101001916FBF6E6E37447827B60E0C4C792C8</vt:lpwstr>
  </property>
</Properties>
</file>