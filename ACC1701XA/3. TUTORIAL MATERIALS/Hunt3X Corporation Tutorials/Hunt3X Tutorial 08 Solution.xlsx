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bizhann\OneDrive - National University of Singapore\TEACHING\AY2526 S1 ACC1701XA\Tutorial\Hunt3X Tutorial\"/>
    </mc:Choice>
  </mc:AlternateContent>
  <xr:revisionPtr revIDLastSave="5" documentId="14_{D85F4403-2F67-40B8-9D42-421EE2C025CA}" xr6:coauthVersionLast="36" xr6:coauthVersionMax="36" xr10:uidLastSave="{5D084BC1-CAC2-4DCC-A573-CDA3D12E6E3B}"/>
  <bookViews>
    <workbookView xWindow="28680" yWindow="-120" windowWidth="29040" windowHeight="15720" firstSheet="6" activeTab="8" xr2:uid="{DDBBB553-5ABA-4D41-B304-DD91129E46E7}"/>
  </bookViews>
  <sheets>
    <sheet name="TB @ 30 Sept 2025" sheetId="14" r:id="rId1"/>
    <sheet name="Tutorial 2 Sol" sheetId="9" r:id="rId2"/>
    <sheet name="Tutorial 3 Sol" sheetId="17" r:id="rId3"/>
    <sheet name="Tutorial 4 Sol" sheetId="18" r:id="rId4"/>
    <sheet name="Tutorial 5 Sol" sheetId="20" r:id="rId5"/>
    <sheet name="Tutorial 6 Sol" sheetId="19" r:id="rId6"/>
    <sheet name="Tutorial 7 Part 1-3 Sol" sheetId="21" r:id="rId7"/>
    <sheet name="Tutorial 7 Part 4&amp;5 Sol" sheetId="22" r:id="rId8"/>
    <sheet name="Tutorial 8 Sol" sheetId="23" r:id="rId9"/>
    <sheet name="TB @ 31 Dec 2024" sheetId="28" r:id="rId10"/>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30" i="19" l="1"/>
  <c r="C24" i="19"/>
  <c r="F10" i="23"/>
  <c r="F6" i="23"/>
  <c r="E9" i="19" l="1"/>
  <c r="E8" i="19"/>
  <c r="E7" i="19"/>
  <c r="E6" i="19"/>
  <c r="E10" i="19" l="1"/>
  <c r="H27" i="22"/>
  <c r="H26" i="22"/>
  <c r="C26" i="22"/>
  <c r="D19" i="22"/>
  <c r="D18" i="22"/>
  <c r="D32" i="22" s="1"/>
  <c r="D20" i="22" l="1"/>
  <c r="E66" i="21"/>
  <c r="A65" i="21"/>
  <c r="A64" i="21"/>
  <c r="A63" i="21"/>
  <c r="A62" i="21"/>
  <c r="A50" i="21"/>
  <c r="Y59" i="21" s="1"/>
  <c r="A49" i="21"/>
  <c r="Y58" i="21" s="1"/>
  <c r="A48" i="21"/>
  <c r="Y57" i="21" s="1"/>
  <c r="A47" i="21"/>
  <c r="Y56" i="21" s="1"/>
  <c r="A45" i="21"/>
  <c r="A42" i="21"/>
  <c r="Y45" i="21" s="1"/>
  <c r="D42" i="22" l="1"/>
  <c r="C27" i="22"/>
  <c r="D27" i="22" s="1"/>
  <c r="Q14" i="9"/>
  <c r="F21" i="9" l="1"/>
  <c r="A21" i="9"/>
  <c r="D130" i="20" l="1"/>
  <c r="D146" i="20" s="1"/>
  <c r="D118" i="20"/>
  <c r="B104" i="20"/>
  <c r="C79" i="20"/>
  <c r="C80" i="20" s="1"/>
  <c r="D92" i="20" s="1"/>
  <c r="C36" i="20"/>
  <c r="C59" i="20" s="1"/>
  <c r="C84" i="20" s="1"/>
  <c r="G4" i="20"/>
  <c r="AD26" i="18" l="1"/>
  <c r="AD25" i="18"/>
  <c r="AD24" i="18"/>
  <c r="AD23" i="18"/>
  <c r="T3" i="18"/>
  <c r="Q15" i="18"/>
  <c r="Q14" i="18"/>
  <c r="F8" i="18"/>
  <c r="E8" i="18"/>
  <c r="E14" i="18"/>
  <c r="A17" i="18"/>
  <c r="A51" i="21" s="1"/>
  <c r="Y60" i="21" s="1"/>
  <c r="A10" i="18"/>
  <c r="A44" i="21" s="1"/>
  <c r="D17" i="17" l="1"/>
  <c r="E18" i="17" s="1"/>
  <c r="G14" i="18" s="1"/>
  <c r="I14" i="18" s="1"/>
  <c r="D48" i="21" s="1"/>
  <c r="B5" i="14"/>
  <c r="B15" i="14"/>
  <c r="D5" i="17" s="1"/>
  <c r="L40" i="9"/>
  <c r="K18" i="9"/>
  <c r="L19" i="9" s="1"/>
  <c r="B12" i="9" s="1"/>
  <c r="Q23" i="9"/>
  <c r="R35" i="9"/>
  <c r="Q35" i="9"/>
  <c r="I39" i="9"/>
  <c r="I30" i="9"/>
  <c r="B13" i="28"/>
  <c r="X7" i="9" s="1"/>
  <c r="C58" i="18" s="1"/>
  <c r="S30" i="9"/>
  <c r="Q16" i="9"/>
  <c r="R9" i="9"/>
  <c r="Q9" i="9"/>
  <c r="Q8" i="9"/>
  <c r="Q25" i="9"/>
  <c r="F10" i="9"/>
  <c r="L34" i="9"/>
  <c r="S14" i="9" s="1"/>
  <c r="L25" i="9"/>
  <c r="K15" i="9"/>
  <c r="R16" i="9" s="1"/>
  <c r="L9" i="9"/>
  <c r="S25" i="9" s="1"/>
  <c r="B11" i="28"/>
  <c r="C7" i="28"/>
  <c r="C10" i="28"/>
  <c r="C9" i="28"/>
  <c r="C8" i="28"/>
  <c r="B18" i="14"/>
  <c r="B17" i="14"/>
  <c r="B14" i="14"/>
  <c r="N14" i="18" l="1"/>
  <c r="AE24" i="18"/>
  <c r="S23" i="9"/>
  <c r="D21" i="9"/>
  <c r="C15" i="28"/>
  <c r="C11" i="28"/>
  <c r="D11" i="28" s="1"/>
  <c r="C14" i="28"/>
  <c r="U25" i="9"/>
  <c r="F12" i="9"/>
  <c r="B11" i="9"/>
  <c r="C25" i="21"/>
  <c r="C41" i="19"/>
  <c r="C12" i="21"/>
  <c r="D15" i="28" l="1"/>
  <c r="D17" i="18"/>
  <c r="I17" i="18" s="1"/>
  <c r="A10" i="28"/>
  <c r="A9" i="28"/>
  <c r="A8" i="28"/>
  <c r="A7" i="28"/>
  <c r="A6" i="28"/>
  <c r="A5" i="28"/>
  <c r="A4" i="28"/>
  <c r="A3" i="28"/>
  <c r="N17" i="18" l="1"/>
  <c r="AE27" i="18" s="1"/>
  <c r="D51" i="21"/>
  <c r="W9" i="18" l="1"/>
  <c r="R42" i="21" s="1"/>
  <c r="R45" i="21" s="1"/>
  <c r="Z67" i="21" s="1"/>
  <c r="U9" i="18"/>
  <c r="P42" i="21" s="1"/>
  <c r="A20" i="18"/>
  <c r="P28" i="9"/>
  <c r="U28" i="9" s="1"/>
  <c r="D20" i="18" s="1"/>
  <c r="I20" i="18" s="1"/>
  <c r="D54" i="21" s="1"/>
  <c r="N28" i="9"/>
  <c r="Q13" i="9"/>
  <c r="A54" i="21" l="1"/>
  <c r="W12" i="18"/>
  <c r="AE34" i="18" s="1"/>
  <c r="N20" i="18"/>
  <c r="AC34" i="18"/>
  <c r="I54" i="21" l="1"/>
  <c r="F17" i="23" l="1"/>
  <c r="B48" i="23"/>
  <c r="F30" i="23"/>
  <c r="E48" i="23" l="1"/>
  <c r="F40" i="23"/>
  <c r="F14" i="23"/>
  <c r="F15" i="23" s="1"/>
  <c r="F18" i="23" s="1"/>
  <c r="F45" i="23" l="1"/>
  <c r="F41" i="23"/>
  <c r="E50" i="23"/>
  <c r="F43" i="23"/>
  <c r="E37" i="23" s="1"/>
  <c r="F38" i="23" s="1"/>
  <c r="F42" i="23"/>
  <c r="F44" i="23" l="1"/>
  <c r="E49" i="23"/>
  <c r="F51" i="23" s="1"/>
  <c r="E33" i="23"/>
  <c r="F34" i="23" s="1"/>
  <c r="H30" i="22"/>
  <c r="J40" i="22"/>
  <c r="P40" i="22" s="1"/>
  <c r="I40" i="22"/>
  <c r="O40" i="22" s="1"/>
  <c r="H40" i="22"/>
  <c r="L39" i="22"/>
  <c r="H39" i="22"/>
  <c r="J37" i="22"/>
  <c r="P37" i="22" s="1"/>
  <c r="I37" i="22"/>
  <c r="H37" i="22"/>
  <c r="L36" i="22"/>
  <c r="H36" i="22"/>
  <c r="J34" i="22"/>
  <c r="P34" i="22" s="1"/>
  <c r="I34" i="22"/>
  <c r="O34" i="22" s="1"/>
  <c r="Q34" i="22" s="1"/>
  <c r="J33" i="22"/>
  <c r="P33" i="22" s="1"/>
  <c r="I33" i="22"/>
  <c r="H34" i="22"/>
  <c r="H33" i="22"/>
  <c r="K40" i="22" l="1"/>
  <c r="Q40" i="22"/>
  <c r="K37" i="22"/>
  <c r="I41" i="22"/>
  <c r="L41" i="22"/>
  <c r="K33" i="22"/>
  <c r="O33" i="22"/>
  <c r="Q33" i="22" s="1"/>
  <c r="O37" i="22"/>
  <c r="Q37" i="22" s="1"/>
  <c r="K34" i="22"/>
  <c r="L26" i="22"/>
  <c r="B32" i="22"/>
  <c r="D34" i="22"/>
  <c r="E9" i="22"/>
  <c r="C15" i="22" s="1"/>
  <c r="E7" i="22"/>
  <c r="C14" i="22" s="1"/>
  <c r="E5" i="22"/>
  <c r="C13" i="22" s="1"/>
  <c r="E4" i="22"/>
  <c r="D11" i="22" s="1"/>
  <c r="B24" i="22"/>
  <c r="B15" i="22"/>
  <c r="B14" i="22"/>
  <c r="B13" i="22"/>
  <c r="E67" i="21"/>
  <c r="L53" i="21"/>
  <c r="L51" i="21"/>
  <c r="L47" i="21"/>
  <c r="O38" i="21"/>
  <c r="O36" i="21"/>
  <c r="X36" i="21" s="1"/>
  <c r="D15" i="22" l="1"/>
  <c r="D16" i="22" s="1"/>
  <c r="M24" i="22" s="1"/>
  <c r="P29" i="9"/>
  <c r="U29" i="9" s="1"/>
  <c r="D21" i="18" s="1"/>
  <c r="I21" i="18" s="1"/>
  <c r="D55" i="21" s="1"/>
  <c r="D35" i="22"/>
  <c r="B31" i="22"/>
  <c r="B40" i="22" s="1"/>
  <c r="H24" i="22"/>
  <c r="Q35" i="22"/>
  <c r="O35" i="22"/>
  <c r="O36" i="22" s="1"/>
  <c r="O38" i="22" s="1"/>
  <c r="O39" i="22" s="1"/>
  <c r="O41" i="22"/>
  <c r="K41" i="22"/>
  <c r="C54" i="19"/>
  <c r="D50" i="19"/>
  <c r="D86" i="20"/>
  <c r="D90" i="20" s="1"/>
  <c r="E90" i="20"/>
  <c r="D104" i="20"/>
  <c r="D117" i="20" s="1"/>
  <c r="E19" i="20"/>
  <c r="C20" i="20"/>
  <c r="C43" i="20" s="1"/>
  <c r="E26" i="20"/>
  <c r="B46" i="18"/>
  <c r="B45" i="18"/>
  <c r="B44" i="18"/>
  <c r="B43" i="18"/>
  <c r="E16" i="18"/>
  <c r="F31" i="18"/>
  <c r="E31" i="18"/>
  <c r="E27" i="17"/>
  <c r="G16" i="18" s="1"/>
  <c r="I16" i="18" s="1"/>
  <c r="D50" i="21" s="1"/>
  <c r="Q17" i="18"/>
  <c r="E26" i="18"/>
  <c r="E11" i="18"/>
  <c r="E29" i="18"/>
  <c r="E28" i="18"/>
  <c r="F23" i="18"/>
  <c r="E23" i="18"/>
  <c r="E9" i="18"/>
  <c r="E30" i="18"/>
  <c r="E15" i="18" s="1"/>
  <c r="P35" i="22" l="1"/>
  <c r="M36" i="22" s="1"/>
  <c r="N36" i="22" s="1"/>
  <c r="L27" i="22"/>
  <c r="M27" i="22" s="1"/>
  <c r="M28" i="22" s="1"/>
  <c r="D24" i="22"/>
  <c r="D40" i="22"/>
  <c r="G20" i="20"/>
  <c r="E12" i="17"/>
  <c r="G9" i="18" s="1"/>
  <c r="E13" i="18"/>
  <c r="E22" i="18" s="1"/>
  <c r="E7" i="18"/>
  <c r="E24" i="18" s="1"/>
  <c r="E24" i="17"/>
  <c r="G26" i="18" s="1"/>
  <c r="Q24" i="9"/>
  <c r="R15" i="9"/>
  <c r="Q15" i="9"/>
  <c r="B20" i="9"/>
  <c r="A20" i="9"/>
  <c r="A19" i="9"/>
  <c r="K41" i="9"/>
  <c r="L37" i="9"/>
  <c r="D20" i="9" s="1"/>
  <c r="D31" i="22" l="1"/>
  <c r="D33" i="22" s="1"/>
  <c r="D36" i="22" s="1"/>
  <c r="D28" i="22"/>
  <c r="H8" i="18"/>
  <c r="C42" i="21" s="1"/>
  <c r="F28" i="18"/>
  <c r="D43" i="22"/>
  <c r="P36" i="22"/>
  <c r="Q36" i="22" s="1"/>
  <c r="S24" i="9"/>
  <c r="F19" i="9"/>
  <c r="B17" i="9"/>
  <c r="D16" i="9"/>
  <c r="F15" i="9"/>
  <c r="B13" i="9"/>
  <c r="A13" i="9"/>
  <c r="A8" i="9"/>
  <c r="B10" i="9"/>
  <c r="A10" i="9"/>
  <c r="A7" i="9"/>
  <c r="B8" i="9"/>
  <c r="D7" i="9"/>
  <c r="B7" i="9"/>
  <c r="B6" i="9"/>
  <c r="R33" i="9"/>
  <c r="Q33" i="9"/>
  <c r="R21" i="9"/>
  <c r="Q21" i="9"/>
  <c r="R22" i="9"/>
  <c r="Q22" i="9"/>
  <c r="Q12" i="9"/>
  <c r="Q11" i="9"/>
  <c r="R34" i="9"/>
  <c r="Q34" i="9"/>
  <c r="Q17" i="9"/>
  <c r="R10" i="9"/>
  <c r="Q10" i="9"/>
  <c r="R31" i="9"/>
  <c r="S20" i="9"/>
  <c r="Q20" i="9"/>
  <c r="Q30" i="9"/>
  <c r="Q31" i="9" s="1"/>
  <c r="R19" i="9"/>
  <c r="Q19" i="9"/>
  <c r="R7" i="9"/>
  <c r="Q7" i="9"/>
  <c r="R6" i="9"/>
  <c r="Q6" i="9"/>
  <c r="Q27" i="9" s="1"/>
  <c r="O33" i="9"/>
  <c r="P30" i="9"/>
  <c r="P27" i="9"/>
  <c r="P26" i="9"/>
  <c r="P24" i="9"/>
  <c r="D8" i="17" s="1"/>
  <c r="F13" i="18" s="1"/>
  <c r="G22" i="18" s="1"/>
  <c r="P22" i="9"/>
  <c r="O19" i="9"/>
  <c r="N35" i="9"/>
  <c r="N34" i="9"/>
  <c r="N33" i="9"/>
  <c r="N32" i="9"/>
  <c r="N31" i="9"/>
  <c r="N30" i="9"/>
  <c r="N29" i="9"/>
  <c r="N27" i="9"/>
  <c r="N26" i="9"/>
  <c r="N24" i="9"/>
  <c r="N22" i="9"/>
  <c r="N19" i="9"/>
  <c r="N18" i="9"/>
  <c r="N16" i="9"/>
  <c r="O6" i="9"/>
  <c r="N6" i="9"/>
  <c r="O34" i="9"/>
  <c r="D5" i="9"/>
  <c r="O32" i="9"/>
  <c r="O16" i="9"/>
  <c r="D22" i="9" l="1"/>
  <c r="X3" i="9" s="1"/>
  <c r="T32" i="9"/>
  <c r="C24" i="18" s="1"/>
  <c r="T19" i="9"/>
  <c r="C9" i="18" s="1"/>
  <c r="B5" i="9"/>
  <c r="B20" i="14"/>
  <c r="F5" i="9"/>
  <c r="D37" i="22"/>
  <c r="Q38" i="22"/>
  <c r="P38" i="22" s="1"/>
  <c r="M39" i="22" s="1"/>
  <c r="U24" i="9"/>
  <c r="D13" i="18" s="1"/>
  <c r="I13" i="18" s="1"/>
  <c r="M8" i="18"/>
  <c r="O31" i="9"/>
  <c r="T31" i="9" s="1"/>
  <c r="A27" i="18"/>
  <c r="A61" i="21" s="1"/>
  <c r="U22" i="9"/>
  <c r="O35" i="9"/>
  <c r="T35" i="9" s="1"/>
  <c r="C27" i="18" s="1"/>
  <c r="O18" i="9"/>
  <c r="T18" i="9" s="1"/>
  <c r="C7" i="18" s="1"/>
  <c r="P37" i="9"/>
  <c r="U26" i="9"/>
  <c r="T21" i="9"/>
  <c r="R37" i="9"/>
  <c r="T33" i="9"/>
  <c r="C25" i="18" s="1"/>
  <c r="T34" i="9"/>
  <c r="C26" i="18" s="1"/>
  <c r="AE23" i="18" l="1"/>
  <c r="D47" i="21"/>
  <c r="C10" i="18"/>
  <c r="D18" i="18"/>
  <c r="L46" i="21"/>
  <c r="Q13" i="18"/>
  <c r="C23" i="18"/>
  <c r="G5" i="9"/>
  <c r="I48" i="21"/>
  <c r="Z57" i="21" s="1"/>
  <c r="N13" i="18"/>
  <c r="N39" i="22"/>
  <c r="N41" i="22" s="1"/>
  <c r="P39" i="22"/>
  <c r="Q39" i="22" s="1"/>
  <c r="Q41" i="22" s="1"/>
  <c r="P41" i="22" s="1"/>
  <c r="B42" i="18"/>
  <c r="O37" i="9"/>
  <c r="D96" i="20"/>
  <c r="E72" i="20"/>
  <c r="E65" i="20"/>
  <c r="D61" i="20"/>
  <c r="D56" i="20"/>
  <c r="D67" i="20" s="1"/>
  <c r="D72" i="20" s="1"/>
  <c r="E39" i="20"/>
  <c r="E42" i="20" s="1"/>
  <c r="D38" i="20"/>
  <c r="E15" i="17" l="1"/>
  <c r="G15" i="18" s="1"/>
  <c r="I15" i="18" s="1"/>
  <c r="D49" i="21" s="1"/>
  <c r="F30" i="18"/>
  <c r="H30" i="18" s="1"/>
  <c r="C64" i="21" s="1"/>
  <c r="H64" i="21" s="1"/>
  <c r="M51" i="21" s="1"/>
  <c r="D65" i="20"/>
  <c r="D39" i="20"/>
  <c r="D33" i="20"/>
  <c r="D48" i="20" s="1"/>
  <c r="C10" i="19"/>
  <c r="B24" i="19"/>
  <c r="D28" i="19"/>
  <c r="AE25" i="18" l="1"/>
  <c r="N15" i="18"/>
  <c r="R17" i="18"/>
  <c r="D45" i="18"/>
  <c r="L30" i="18" s="1"/>
  <c r="M30" i="18" s="1"/>
  <c r="F29" i="18"/>
  <c r="E21" i="17"/>
  <c r="G11" i="18" s="1"/>
  <c r="I11" i="18" s="1"/>
  <c r="D45" i="21" s="1"/>
  <c r="I45" i="21" s="1"/>
  <c r="C66" i="20"/>
  <c r="C28" i="19"/>
  <c r="E28" i="19" s="1"/>
  <c r="C34" i="19" s="1"/>
  <c r="G43" i="20"/>
  <c r="D42" i="20"/>
  <c r="D14" i="19"/>
  <c r="D15" i="19" s="1"/>
  <c r="AD12" i="18"/>
  <c r="A26" i="18"/>
  <c r="A25" i="18"/>
  <c r="A59" i="21" s="1"/>
  <c r="A24" i="18"/>
  <c r="A58" i="21" s="1"/>
  <c r="A23" i="18"/>
  <c r="A57" i="21" s="1"/>
  <c r="A22" i="18"/>
  <c r="A56" i="21" s="1"/>
  <c r="A19" i="18"/>
  <c r="A53" i="21" s="1"/>
  <c r="A18" i="18"/>
  <c r="A52" i="21" s="1"/>
  <c r="Y63" i="21" s="1"/>
  <c r="A12" i="18"/>
  <c r="A9" i="18"/>
  <c r="A43" i="21" s="1"/>
  <c r="Y46" i="21" s="1"/>
  <c r="A7" i="18"/>
  <c r="A41" i="21" s="1"/>
  <c r="Y44" i="21" s="1"/>
  <c r="A6" i="18"/>
  <c r="A39" i="21" s="1"/>
  <c r="A5" i="18"/>
  <c r="A38" i="21" s="1"/>
  <c r="Y42" i="21" s="1"/>
  <c r="Q19" i="18"/>
  <c r="Q12" i="18" l="1"/>
  <c r="A60" i="21"/>
  <c r="L45" i="21" s="1"/>
  <c r="AD22" i="18"/>
  <c r="A46" i="21"/>
  <c r="Y55" i="21" s="1"/>
  <c r="C30" i="19"/>
  <c r="N11" i="18"/>
  <c r="I49" i="21"/>
  <c r="Z58" i="21" s="1"/>
  <c r="L43" i="21"/>
  <c r="Q10" i="18"/>
  <c r="L44" i="21"/>
  <c r="Q11" i="18"/>
  <c r="G66" i="20"/>
  <c r="C91" i="20"/>
  <c r="C116" i="20" s="1"/>
  <c r="G116" i="20" s="1"/>
  <c r="AC33" i="18"/>
  <c r="AD9" i="18"/>
  <c r="Q8" i="18"/>
  <c r="L41" i="21"/>
  <c r="AD13" i="18"/>
  <c r="B41" i="18"/>
  <c r="AD11" i="18"/>
  <c r="AD10" i="18"/>
  <c r="AD30" i="18"/>
  <c r="B40" i="18"/>
  <c r="A79" i="20"/>
  <c r="B39" i="18"/>
  <c r="C18" i="19"/>
  <c r="D29" i="19"/>
  <c r="D30" i="19" s="1"/>
  <c r="H27" i="18"/>
  <c r="A37" i="18"/>
  <c r="T5" i="18"/>
  <c r="AC3" i="18"/>
  <c r="E9" i="17"/>
  <c r="E6" i="17"/>
  <c r="G7" i="18" s="1"/>
  <c r="R13" i="18" l="1"/>
  <c r="C61" i="21"/>
  <c r="H61" i="21" s="1"/>
  <c r="M46" i="21" s="1"/>
  <c r="C42" i="19"/>
  <c r="C43" i="19" s="1"/>
  <c r="G91" i="20"/>
  <c r="D19" i="19"/>
  <c r="G40" i="21" s="1"/>
  <c r="I40" i="21" s="1"/>
  <c r="F66" i="21"/>
  <c r="H66" i="21" s="1"/>
  <c r="M49" i="21" s="1"/>
  <c r="D42" i="18"/>
  <c r="L27" i="18" s="1"/>
  <c r="M27" i="18" s="1"/>
  <c r="F24" i="18"/>
  <c r="H7" i="18"/>
  <c r="C41" i="21" s="1"/>
  <c r="H41" i="21" s="1"/>
  <c r="Z44" i="21" s="1"/>
  <c r="E28" i="17"/>
  <c r="D28" i="17"/>
  <c r="H31" i="18"/>
  <c r="B38" i="18"/>
  <c r="R19" i="18" l="1"/>
  <c r="C65" i="21"/>
  <c r="C35" i="19"/>
  <c r="C53" i="19"/>
  <c r="C55" i="19" s="1"/>
  <c r="D60" i="19" s="1"/>
  <c r="D62" i="19" s="1"/>
  <c r="D46" i="18"/>
  <c r="L31" i="18" s="1"/>
  <c r="M31" i="18" s="1"/>
  <c r="N16" i="18"/>
  <c r="I50" i="21"/>
  <c r="AE11" i="18"/>
  <c r="M7" i="18"/>
  <c r="AE26" i="18"/>
  <c r="F32" i="18"/>
  <c r="H29" i="18"/>
  <c r="AE12" i="18"/>
  <c r="R15" i="18" l="1"/>
  <c r="C63" i="21"/>
  <c r="H63" i="21" s="1"/>
  <c r="M48" i="21" s="1"/>
  <c r="Z59" i="21"/>
  <c r="D44" i="18"/>
  <c r="L29" i="18" s="1"/>
  <c r="M29" i="18" s="1"/>
  <c r="H42" i="21"/>
  <c r="Z45" i="21" s="1"/>
  <c r="G32" i="18"/>
  <c r="I51" i="21" l="1"/>
  <c r="H65" i="21"/>
  <c r="M53" i="21" s="1"/>
  <c r="I33" i="9"/>
  <c r="J28" i="9"/>
  <c r="I27" i="9"/>
  <c r="J25" i="9"/>
  <c r="I24" i="9"/>
  <c r="J22" i="9"/>
  <c r="I21" i="9"/>
  <c r="Z60" i="21" l="1"/>
  <c r="J6" i="9"/>
  <c r="I5" i="9"/>
  <c r="C19" i="14" l="1"/>
  <c r="B19" i="14"/>
  <c r="D19" i="14" l="1"/>
  <c r="A6" i="9"/>
  <c r="H28" i="18" l="1"/>
  <c r="H24" i="18"/>
  <c r="C58" i="21" s="1"/>
  <c r="H58" i="21" s="1"/>
  <c r="M43" i="21" s="1"/>
  <c r="A17" i="9"/>
  <c r="A16" i="9"/>
  <c r="A15" i="9"/>
  <c r="E5" i="9"/>
  <c r="E6" i="9" s="1"/>
  <c r="E7" i="9" s="1"/>
  <c r="E8" i="9" s="1"/>
  <c r="C5" i="9"/>
  <c r="C6" i="9" s="1"/>
  <c r="C7" i="9" s="1"/>
  <c r="C8" i="9" s="1"/>
  <c r="L31" i="9"/>
  <c r="L28" i="9"/>
  <c r="L22" i="9"/>
  <c r="L12" i="9"/>
  <c r="L6" i="9"/>
  <c r="R14" i="18" l="1"/>
  <c r="C62" i="21"/>
  <c r="H62" i="21" s="1"/>
  <c r="M47" i="21" s="1"/>
  <c r="B9" i="9"/>
  <c r="S8" i="9"/>
  <c r="C10" i="9"/>
  <c r="C12" i="9" s="1"/>
  <c r="C13" i="9" s="1"/>
  <c r="C14" i="9" s="1"/>
  <c r="C15" i="9" s="1"/>
  <c r="C16" i="9" s="1"/>
  <c r="C17" i="9" s="1"/>
  <c r="C9" i="9"/>
  <c r="E10" i="9"/>
  <c r="E12" i="9" s="1"/>
  <c r="E13" i="9" s="1"/>
  <c r="E14" i="9" s="1"/>
  <c r="E15" i="9" s="1"/>
  <c r="E16" i="9" s="1"/>
  <c r="E17" i="9" s="1"/>
  <c r="E18" i="9" s="1"/>
  <c r="E19" i="9" s="1"/>
  <c r="E9" i="9"/>
  <c r="D43" i="18"/>
  <c r="L28" i="18" s="1"/>
  <c r="M28" i="18" s="1"/>
  <c r="D39" i="18"/>
  <c r="L24" i="18" s="1"/>
  <c r="M24" i="18" s="1"/>
  <c r="T42" i="21"/>
  <c r="F6" i="9"/>
  <c r="F22" i="9" s="1"/>
  <c r="L41" i="9"/>
  <c r="D24" i="9"/>
  <c r="U30" i="9"/>
  <c r="S17" i="9"/>
  <c r="T16" i="9" s="1"/>
  <c r="B14" i="9"/>
  <c r="S11" i="9"/>
  <c r="B15" i="9"/>
  <c r="S12" i="9"/>
  <c r="B16" i="9"/>
  <c r="S13" i="9"/>
  <c r="B18" i="9"/>
  <c r="S27" i="9"/>
  <c r="U10" i="18" s="1"/>
  <c r="R10" i="18"/>
  <c r="G5" i="20" s="1"/>
  <c r="G6" i="20" s="1"/>
  <c r="Y9" i="18"/>
  <c r="AA9" i="18" s="1"/>
  <c r="H26" i="18"/>
  <c r="H25" i="18"/>
  <c r="I18" i="18"/>
  <c r="D52" i="21" s="1"/>
  <c r="C18" i="9"/>
  <c r="C19" i="9" s="1"/>
  <c r="C20" i="9" s="1"/>
  <c r="C21" i="9" s="1"/>
  <c r="H10" i="18"/>
  <c r="C44" i="21" l="1"/>
  <c r="AE16" i="18"/>
  <c r="R11" i="18"/>
  <c r="C59" i="21"/>
  <c r="H59" i="21" s="1"/>
  <c r="M44" i="21" s="1"/>
  <c r="R12" i="18"/>
  <c r="C60" i="21"/>
  <c r="H60" i="21" s="1"/>
  <c r="M45" i="21" s="1"/>
  <c r="T6" i="9"/>
  <c r="B22" i="9"/>
  <c r="P43" i="21"/>
  <c r="AA10" i="18"/>
  <c r="C9" i="20"/>
  <c r="D10" i="20"/>
  <c r="D15" i="20" s="1"/>
  <c r="D19" i="20" s="1"/>
  <c r="X9" i="9"/>
  <c r="D25" i="9"/>
  <c r="C6" i="18"/>
  <c r="H6" i="18" s="1"/>
  <c r="C39" i="21" s="1"/>
  <c r="D22" i="18"/>
  <c r="D40" i="18"/>
  <c r="L25" i="18" s="1"/>
  <c r="M25" i="18" s="1"/>
  <c r="D41" i="18"/>
  <c r="L26" i="18" s="1"/>
  <c r="M26" i="18" s="1"/>
  <c r="M10" i="18"/>
  <c r="D21" i="20"/>
  <c r="D26" i="20" s="1"/>
  <c r="N18" i="18"/>
  <c r="I55" i="21"/>
  <c r="D12" i="18"/>
  <c r="AE30" i="18"/>
  <c r="U27" i="9"/>
  <c r="S37" i="9"/>
  <c r="H9" i="18"/>
  <c r="C43" i="21" s="1"/>
  <c r="H23" i="18"/>
  <c r="R8" i="18" l="1"/>
  <c r="C57" i="21"/>
  <c r="I22" i="18"/>
  <c r="D19" i="18"/>
  <c r="I19" i="18" s="1"/>
  <c r="D53" i="21" s="1"/>
  <c r="F24" i="9"/>
  <c r="F25" i="9" s="1"/>
  <c r="C5" i="18"/>
  <c r="B24" i="9"/>
  <c r="B25" i="9" s="1"/>
  <c r="M6" i="18"/>
  <c r="X4" i="9"/>
  <c r="I52" i="21"/>
  <c r="Z63" i="21" s="1"/>
  <c r="M9" i="18"/>
  <c r="V42" i="21"/>
  <c r="I12" i="18"/>
  <c r="D46" i="21" s="1"/>
  <c r="I46" i="21" s="1"/>
  <c r="D38" i="18"/>
  <c r="L23" i="18" s="1"/>
  <c r="M23" i="18" s="1"/>
  <c r="U12" i="18"/>
  <c r="AE33" i="18" s="1"/>
  <c r="U37" i="9"/>
  <c r="T37" i="9"/>
  <c r="AE13" i="18"/>
  <c r="D3" i="21" s="1"/>
  <c r="D5" i="21" s="1"/>
  <c r="C8" i="21" s="1"/>
  <c r="AE10" i="18"/>
  <c r="C26" i="21" l="1"/>
  <c r="Z55" i="21"/>
  <c r="R22" i="18"/>
  <c r="D56" i="21"/>
  <c r="I56" i="21" s="1"/>
  <c r="M40" i="21" s="1"/>
  <c r="X10" i="9"/>
  <c r="X11" i="9" s="1"/>
  <c r="C37" i="18"/>
  <c r="D47" i="18" s="1"/>
  <c r="D32" i="18"/>
  <c r="N19" i="18"/>
  <c r="H5" i="18"/>
  <c r="C38" i="21" s="1"/>
  <c r="Z42" i="21" s="1"/>
  <c r="C32" i="18"/>
  <c r="H39" i="21"/>
  <c r="Z43" i="21" s="1"/>
  <c r="F57" i="21"/>
  <c r="D9" i="21"/>
  <c r="I47" i="21"/>
  <c r="D67" i="21"/>
  <c r="I32" i="18"/>
  <c r="I53" i="21"/>
  <c r="N12" i="18"/>
  <c r="R7" i="18"/>
  <c r="AE22" i="18"/>
  <c r="AE28" i="18" s="1"/>
  <c r="AE17" i="18"/>
  <c r="X5" i="9"/>
  <c r="C27" i="21" l="1"/>
  <c r="Z56" i="21"/>
  <c r="G43" i="21"/>
  <c r="H43" i="21" s="1"/>
  <c r="C40" i="19"/>
  <c r="C54" i="18"/>
  <c r="C16" i="20" s="1"/>
  <c r="K22" i="18"/>
  <c r="D33" i="18"/>
  <c r="AE9" i="18"/>
  <c r="AE14" i="18" s="1"/>
  <c r="H32" i="18"/>
  <c r="I33" i="18" s="1"/>
  <c r="M5" i="18"/>
  <c r="M32" i="18" s="1"/>
  <c r="H44" i="21"/>
  <c r="H57" i="21"/>
  <c r="Z72" i="21" s="1"/>
  <c r="F67" i="21"/>
  <c r="I67" i="21"/>
  <c r="P45" i="21"/>
  <c r="V43" i="21"/>
  <c r="C67" i="21"/>
  <c r="D68" i="21" s="1"/>
  <c r="H38" i="21"/>
  <c r="L21" i="18"/>
  <c r="R9" i="18"/>
  <c r="R16" i="18" s="1"/>
  <c r="Z61" i="21" l="1"/>
  <c r="Z64" i="21" s="1"/>
  <c r="Z66" i="21"/>
  <c r="Z46" i="21"/>
  <c r="C13" i="21"/>
  <c r="C23" i="21" s="1"/>
  <c r="Z49" i="21"/>
  <c r="Z50" i="21" s="1"/>
  <c r="M41" i="21"/>
  <c r="C11" i="21" s="1"/>
  <c r="M57" i="21"/>
  <c r="G67" i="21"/>
  <c r="C44" i="19"/>
  <c r="C45" i="19" s="1"/>
  <c r="C19" i="21" s="1"/>
  <c r="AE18" i="18"/>
  <c r="C64" i="18" s="1"/>
  <c r="K32" i="18"/>
  <c r="N22" i="18"/>
  <c r="C14" i="21"/>
  <c r="AE31" i="18"/>
  <c r="H67" i="21"/>
  <c r="I68" i="21" s="1"/>
  <c r="R18" i="18"/>
  <c r="R20" i="18" s="1"/>
  <c r="C23" i="19" s="1"/>
  <c r="C25" i="19" s="1"/>
  <c r="C39" i="20"/>
  <c r="G39" i="20" s="1"/>
  <c r="G16" i="20"/>
  <c r="N21" i="18"/>
  <c r="L32" i="18"/>
  <c r="Z47" i="21" l="1"/>
  <c r="Z51" i="21"/>
  <c r="C15" i="21"/>
  <c r="C16" i="21" s="1"/>
  <c r="C20" i="21" s="1"/>
  <c r="N32" i="18"/>
  <c r="N33" i="18" s="1"/>
  <c r="C33" i="19"/>
  <c r="C36" i="19" s="1"/>
  <c r="C59" i="18"/>
  <c r="C21" i="20" s="1"/>
  <c r="G21" i="20" s="1"/>
  <c r="G22" i="20" s="1"/>
  <c r="C53" i="18"/>
  <c r="C63" i="18"/>
  <c r="C62" i="18" s="1"/>
  <c r="C60" i="18"/>
  <c r="C22" i="20" s="1"/>
  <c r="C45" i="20" s="1"/>
  <c r="C68" i="20" s="1"/>
  <c r="C93" i="20" s="1"/>
  <c r="C119" i="20" s="1"/>
  <c r="Y11" i="18"/>
  <c r="Y12" i="18" s="1"/>
  <c r="AE35" i="18" s="1"/>
  <c r="M42" i="21"/>
  <c r="M50" i="21" s="1"/>
  <c r="M52" i="21" s="1"/>
  <c r="C62" i="20"/>
  <c r="C87" i="20" s="1"/>
  <c r="C111" i="20" s="1"/>
  <c r="C15" i="20"/>
  <c r="C38" i="20" s="1"/>
  <c r="C26" i="20"/>
  <c r="G111" i="20" l="1"/>
  <c r="C136" i="20"/>
  <c r="G136" i="20" s="1"/>
  <c r="C25" i="20"/>
  <c r="C24" i="20" s="1"/>
  <c r="AA11" i="18"/>
  <c r="AA12" i="18" s="1"/>
  <c r="C44" i="20"/>
  <c r="C67" i="20" s="1"/>
  <c r="C92" i="20" s="1"/>
  <c r="C117" i="20" s="1"/>
  <c r="C142" i="20" s="1"/>
  <c r="G142" i="20" s="1"/>
  <c r="G15" i="20"/>
  <c r="G14" i="20" s="1"/>
  <c r="C14" i="20"/>
  <c r="C52" i="18"/>
  <c r="G62" i="20"/>
  <c r="C57" i="18"/>
  <c r="C19" i="20" s="1"/>
  <c r="C42" i="20" s="1"/>
  <c r="G42" i="20" s="1"/>
  <c r="AE36" i="18"/>
  <c r="AE37" i="18" s="1"/>
  <c r="M54" i="21"/>
  <c r="T44" i="21" s="1"/>
  <c r="C22" i="21"/>
  <c r="C24" i="21" s="1"/>
  <c r="C28" i="21" s="1"/>
  <c r="C49" i="20"/>
  <c r="G49" i="20" s="1"/>
  <c r="G26" i="20"/>
  <c r="G87" i="20"/>
  <c r="C61" i="20"/>
  <c r="G61" i="20" s="1"/>
  <c r="C37" i="20"/>
  <c r="G38" i="20"/>
  <c r="G37" i="20" s="1"/>
  <c r="G117" i="20" l="1"/>
  <c r="C141" i="20"/>
  <c r="G141" i="20" s="1"/>
  <c r="G143" i="20" s="1"/>
  <c r="G25" i="20"/>
  <c r="G24" i="20" s="1"/>
  <c r="C48" i="20"/>
  <c r="G48" i="20" s="1"/>
  <c r="G67" i="20"/>
  <c r="G68" i="20" s="1"/>
  <c r="C18" i="20"/>
  <c r="G44" i="20"/>
  <c r="G45" i="20" s="1"/>
  <c r="G41" i="20" s="1"/>
  <c r="G19" i="20"/>
  <c r="G18" i="20" s="1"/>
  <c r="C56" i="18"/>
  <c r="C30" i="21"/>
  <c r="V44" i="21"/>
  <c r="V45" i="21" s="1"/>
  <c r="T45" i="21"/>
  <c r="Z68" i="21" s="1"/>
  <c r="C47" i="20"/>
  <c r="C41" i="20"/>
  <c r="C65" i="20"/>
  <c r="C90" i="20" s="1"/>
  <c r="C72" i="20"/>
  <c r="G60" i="20"/>
  <c r="C86" i="20"/>
  <c r="C110" i="20" s="1"/>
  <c r="C60" i="20"/>
  <c r="G92" i="20"/>
  <c r="G93" i="20" s="1"/>
  <c r="Z69" i="21" l="1"/>
  <c r="Z70" i="21" s="1"/>
  <c r="C109" i="20"/>
  <c r="C135" i="20"/>
  <c r="G47" i="20"/>
  <c r="C71" i="20"/>
  <c r="G65" i="20"/>
  <c r="G64" i="20" s="1"/>
  <c r="C64" i="20"/>
  <c r="C97" i="20"/>
  <c r="G72" i="20"/>
  <c r="G86" i="20"/>
  <c r="G85" i="20" s="1"/>
  <c r="C85" i="20"/>
  <c r="G119" i="20"/>
  <c r="C115" i="20"/>
  <c r="G90" i="20"/>
  <c r="G89" i="20" s="1"/>
  <c r="C89" i="20"/>
  <c r="G115" i="20" l="1"/>
  <c r="G114" i="20" s="1"/>
  <c r="C140" i="20"/>
  <c r="G140" i="20" s="1"/>
  <c r="G139" i="20" s="1"/>
  <c r="C134" i="20"/>
  <c r="G135" i="20"/>
  <c r="G134" i="20" s="1"/>
  <c r="C96" i="20"/>
  <c r="G71" i="20"/>
  <c r="G70" i="20" s="1"/>
  <c r="C70" i="20"/>
  <c r="C123" i="20"/>
  <c r="G97" i="20"/>
  <c r="G110" i="20"/>
  <c r="G109" i="20" s="1"/>
  <c r="G123" i="20" l="1"/>
  <c r="C147" i="20"/>
  <c r="G147" i="20" s="1"/>
  <c r="C122" i="20"/>
  <c r="G96" i="20"/>
  <c r="G95" i="20" s="1"/>
  <c r="C95" i="20"/>
  <c r="G122" i="20" l="1"/>
  <c r="G121" i="20" s="1"/>
  <c r="C146" i="20"/>
  <c r="C121" i="20"/>
  <c r="C114" i="20"/>
  <c r="C143" i="20"/>
  <c r="C139" i="20"/>
  <c r="G146" i="20" l="1"/>
  <c r="G145" i="20" s="1"/>
  <c r="C145" i="20"/>
</calcChain>
</file>

<file path=xl/sharedStrings.xml><?xml version="1.0" encoding="utf-8"?>
<sst xmlns="http://schemas.openxmlformats.org/spreadsheetml/2006/main" count="652" uniqueCount="314">
  <si>
    <t>Interest Expense</t>
  </si>
  <si>
    <t>Share Capital</t>
  </si>
  <si>
    <t>Cash</t>
  </si>
  <si>
    <t>Property, Plant &amp; Equipment (PPE)</t>
  </si>
  <si>
    <t>Inventory</t>
  </si>
  <si>
    <t>Cost of Goods Sold</t>
  </si>
  <si>
    <t>Long-term Debt</t>
  </si>
  <si>
    <t>Sales</t>
  </si>
  <si>
    <t>Accounts Payable</t>
  </si>
  <si>
    <t>Assets</t>
  </si>
  <si>
    <t>Total Assets</t>
  </si>
  <si>
    <t>Liabilities</t>
  </si>
  <si>
    <t>Total Liabilities</t>
  </si>
  <si>
    <t>Equity</t>
  </si>
  <si>
    <t>Debit</t>
  </si>
  <si>
    <t>Credit</t>
  </si>
  <si>
    <t>Journal Entries</t>
  </si>
  <si>
    <t>Rent Expense</t>
  </si>
  <si>
    <t>Salaries Expense</t>
  </si>
  <si>
    <t>Prepaid Rent</t>
  </si>
  <si>
    <t>(a)</t>
  </si>
  <si>
    <t>(b)</t>
  </si>
  <si>
    <t xml:space="preserve">(c) </t>
  </si>
  <si>
    <t>(d)</t>
  </si>
  <si>
    <t xml:space="preserve">(e) </t>
  </si>
  <si>
    <t>(g)</t>
  </si>
  <si>
    <t>PART (1)</t>
  </si>
  <si>
    <t>PART (2)</t>
  </si>
  <si>
    <t>PART (4)</t>
  </si>
  <si>
    <t>PART (3)</t>
  </si>
  <si>
    <t>PART (5)</t>
  </si>
  <si>
    <t>Debt Ratio</t>
  </si>
  <si>
    <t>Marketing Expense</t>
  </si>
  <si>
    <t>General Admin Expense</t>
  </si>
  <si>
    <t>(f)</t>
  </si>
  <si>
    <t>(h)</t>
  </si>
  <si>
    <t>=</t>
  </si>
  <si>
    <t>+</t>
  </si>
  <si>
    <t>Accounting Equation Effects</t>
  </si>
  <si>
    <t>Accounts Receivable</t>
  </si>
  <si>
    <t>TUTORIAL 2 SOLUTION</t>
  </si>
  <si>
    <t xml:space="preserve">Adjusting / Correcting Journal Entries </t>
  </si>
  <si>
    <t>Interest Payable</t>
  </si>
  <si>
    <t>Depreciation Expense</t>
  </si>
  <si>
    <t>Unearned Revenue</t>
  </si>
  <si>
    <t>Income Tax Expense</t>
  </si>
  <si>
    <t>TUTORIAL 3 SOLUTION</t>
  </si>
  <si>
    <t>Ref</t>
  </si>
  <si>
    <t>Statement of Profit &amp; Loss</t>
  </si>
  <si>
    <t>Statement of Changes in Equity</t>
  </si>
  <si>
    <t>Statement of Financial Position</t>
  </si>
  <si>
    <t>Sales Revenue</t>
  </si>
  <si>
    <t xml:space="preserve">Retained </t>
  </si>
  <si>
    <t xml:space="preserve">Total </t>
  </si>
  <si>
    <t>Earnings</t>
  </si>
  <si>
    <t>Current Assets:</t>
  </si>
  <si>
    <t>Gross Profit</t>
  </si>
  <si>
    <t>Beginning Balance</t>
  </si>
  <si>
    <t>Shares Issuance</t>
  </si>
  <si>
    <t>Net Income</t>
  </si>
  <si>
    <t>Ending Balance</t>
  </si>
  <si>
    <t>Total Current Assets</t>
  </si>
  <si>
    <t>Taxes Payable</t>
  </si>
  <si>
    <t>Operating Income</t>
  </si>
  <si>
    <t>Total Non-current Assets</t>
  </si>
  <si>
    <t>Profit Before Tax</t>
  </si>
  <si>
    <t>Current Liabilities:</t>
  </si>
  <si>
    <t>Total Current Liabilities</t>
  </si>
  <si>
    <t>Non-current Liabilities:</t>
  </si>
  <si>
    <t>Retained Earnings</t>
  </si>
  <si>
    <t>Total Equity</t>
  </si>
  <si>
    <t>Total Liabilities &amp; Equity</t>
  </si>
  <si>
    <t>(i)</t>
  </si>
  <si>
    <t>Net Profit Margin</t>
  </si>
  <si>
    <t>Net Sales</t>
  </si>
  <si>
    <t>(ii)</t>
  </si>
  <si>
    <t>Return on Assets</t>
  </si>
  <si>
    <t>Beginning Total Assets</t>
  </si>
  <si>
    <t>Ending Total Assets</t>
  </si>
  <si>
    <t>Average Total Assets</t>
  </si>
  <si>
    <t>(iii)</t>
  </si>
  <si>
    <t>Adjustments (from Tutorial 2)</t>
  </si>
  <si>
    <t>TB Worksheet</t>
  </si>
  <si>
    <t>Average Collection Period</t>
  </si>
  <si>
    <t>Receivables Turnover Ratio</t>
  </si>
  <si>
    <t>Average Receivables</t>
  </si>
  <si>
    <t>Trade Receivable - Ending</t>
  </si>
  <si>
    <t>Trade Receivable - Beginning</t>
  </si>
  <si>
    <t>Revenue</t>
  </si>
  <si>
    <t>Total Assets after ECL adjustment</t>
  </si>
  <si>
    <t>Net receivables after ECL adjustment</t>
  </si>
  <si>
    <t>Net receivables before ECL adjustment</t>
  </si>
  <si>
    <t>ECL</t>
  </si>
  <si>
    <t>Net Receivables</t>
  </si>
  <si>
    <t xml:space="preserve">Loss Allowance </t>
  </si>
  <si>
    <t>Gross Receivables</t>
  </si>
  <si>
    <t>Receivables (net)</t>
  </si>
  <si>
    <t>Net Income after ECL adjustment</t>
  </si>
  <si>
    <t>Loss Allowance</t>
  </si>
  <si>
    <t>Expected Credit Loss</t>
  </si>
  <si>
    <t>Journal Entry</t>
  </si>
  <si>
    <t>Calculation of ECL</t>
  </si>
  <si>
    <t>Over 90 days past due</t>
  </si>
  <si>
    <t>61-90 days past due</t>
  </si>
  <si>
    <t>Current</t>
  </si>
  <si>
    <t>Estimated Uncollectible</t>
  </si>
  <si>
    <t>Estimated % Uncollectible</t>
  </si>
  <si>
    <t>Classification of Receivables</t>
  </si>
  <si>
    <t>Accounts Receivables Aging Analysis</t>
  </si>
  <si>
    <t>TUTORIAL 5 SOLUTION</t>
  </si>
  <si>
    <t>Part (1) Correcting Journal Entry</t>
  </si>
  <si>
    <t>Part (2) Effect on Ratios</t>
  </si>
  <si>
    <t>Effect of Corrections</t>
  </si>
  <si>
    <t>CORRECTED</t>
  </si>
  <si>
    <t>decrease</t>
  </si>
  <si>
    <t>inventory decrease</t>
  </si>
  <si>
    <t>Long Term Debt</t>
  </si>
  <si>
    <t>NI</t>
  </si>
  <si>
    <t xml:space="preserve">Cash </t>
  </si>
  <si>
    <t>Part (3)</t>
  </si>
  <si>
    <t>Trial Balance Worksheet</t>
  </si>
  <si>
    <t>check</t>
  </si>
  <si>
    <t>(j)</t>
  </si>
  <si>
    <t>Net Profit</t>
  </si>
  <si>
    <t>Account Name</t>
  </si>
  <si>
    <t>Adjusted Trial Balance @ 31 Dec 2024</t>
  </si>
  <si>
    <t>Closing (from part 3)</t>
  </si>
  <si>
    <t>Part 3</t>
  </si>
  <si>
    <t>Correction amount to rent expense</t>
  </si>
  <si>
    <t>The incorrect amount of rent expense reported on the financial statement:</t>
  </si>
  <si>
    <t>increase</t>
  </si>
  <si>
    <t>prepaid rent increase</t>
  </si>
  <si>
    <t>From Tutorial 3 Part (5)</t>
  </si>
  <si>
    <t>Amount</t>
  </si>
  <si>
    <t>Net Income before ECL adjustment</t>
  </si>
  <si>
    <t>Total Assets before ECL adjustment</t>
  </si>
  <si>
    <t xml:space="preserve">Loss Allowance Account </t>
  </si>
  <si>
    <t>Balance at 1 Jan 2025</t>
  </si>
  <si>
    <t>Less write off</t>
  </si>
  <si>
    <t>Balance after write off</t>
  </si>
  <si>
    <t xml:space="preserve">(i) </t>
  </si>
  <si>
    <t>Accounts Receivable (net)</t>
  </si>
  <si>
    <t>Inventory Turnover</t>
  </si>
  <si>
    <t>Beginning Inventory</t>
  </si>
  <si>
    <t>Average Inventory</t>
  </si>
  <si>
    <t>Days Sale in Inventory</t>
  </si>
  <si>
    <t>Operating Cycle</t>
  </si>
  <si>
    <t>Increase in Inventory (End - Beg)</t>
  </si>
  <si>
    <t>Total Purchase</t>
  </si>
  <si>
    <t>Beginning Accounts Payable</t>
  </si>
  <si>
    <t>Ending Accounts Payable</t>
  </si>
  <si>
    <t>Average Accounts Payable</t>
  </si>
  <si>
    <t>Number of Days' Purchases in Payable</t>
  </si>
  <si>
    <t>Net Operating Cycle</t>
  </si>
  <si>
    <t>AUDITED FS (after adjustements by auditors)</t>
  </si>
  <si>
    <t xml:space="preserve">Inventory </t>
  </si>
  <si>
    <t>Journal entry to account for inventory shrinkage</t>
  </si>
  <si>
    <t>Tutorial 6</t>
  </si>
  <si>
    <t>Supplementary Workings</t>
  </si>
  <si>
    <t>TB Worksheet (with audit adjustments)</t>
  </si>
  <si>
    <t>Date</t>
  </si>
  <si>
    <t xml:space="preserve">Transaction </t>
  </si>
  <si>
    <t>Units</t>
  </si>
  <si>
    <t>Purchase</t>
  </si>
  <si>
    <t>FIFO</t>
  </si>
  <si>
    <t>Beg Inventory</t>
  </si>
  <si>
    <t>Purchases:</t>
  </si>
  <si>
    <t>Cost of Goods Available for Sale</t>
  </si>
  <si>
    <t>Units available for Sale</t>
  </si>
  <si>
    <t>Units available at end of period</t>
  </si>
  <si>
    <t>Cost of Ending Inventory</t>
  </si>
  <si>
    <t>Cost/Unit</t>
  </si>
  <si>
    <t>Total Cost</t>
  </si>
  <si>
    <t>Units sold</t>
  </si>
  <si>
    <t>Weighted Average Cost</t>
  </si>
  <si>
    <t>Weighted average cost per unit</t>
  </si>
  <si>
    <t>Cost of Good Sold</t>
  </si>
  <si>
    <t>LIFO</t>
  </si>
  <si>
    <t>COGS</t>
  </si>
  <si>
    <t>Inventory Balance</t>
  </si>
  <si>
    <t>Unit</t>
  </si>
  <si>
    <t>Price</t>
  </si>
  <si>
    <t>Total</t>
  </si>
  <si>
    <t>Beg Inv &amp; Goods Purchased</t>
  </si>
  <si>
    <t>PART (4) PERIODIC SYSTEM</t>
  </si>
  <si>
    <t>PART (5) PERPETUAL SYSTEM</t>
  </si>
  <si>
    <t>Notes Payable</t>
  </si>
  <si>
    <t>Interest Payabe</t>
  </si>
  <si>
    <t xml:space="preserve">Interest Payable </t>
  </si>
  <si>
    <t>Warranty Expense Rate</t>
  </si>
  <si>
    <t>Warranty Provision account:</t>
  </si>
  <si>
    <t>Part (2) Short Tem Notes</t>
  </si>
  <si>
    <t>Part (3) Contingent Liability</t>
  </si>
  <si>
    <t>TUTORIAL 8 SOLUTION</t>
  </si>
  <si>
    <t xml:space="preserve">Ending Units </t>
  </si>
  <si>
    <t>Post Closing Trial Balance @ 31 Dec 2024</t>
  </si>
  <si>
    <t>Share Capital - Ordinary Shares</t>
  </si>
  <si>
    <t>Accumulated Depreciation - Equipment</t>
  </si>
  <si>
    <t xml:space="preserve">Ordinary </t>
  </si>
  <si>
    <t>Shares</t>
  </si>
  <si>
    <t xml:space="preserve">Expected Credit Loss </t>
  </si>
  <si>
    <t>Ordinary</t>
  </si>
  <si>
    <t xml:space="preserve">Preference </t>
  </si>
  <si>
    <t>Share Capital - Preference Shares (cumulative)</t>
  </si>
  <si>
    <t>Preference</t>
  </si>
  <si>
    <t>Hunt3X Corporation</t>
  </si>
  <si>
    <t>Trial Balance as at 30 September 2025</t>
  </si>
  <si>
    <t>Short Term Notes Payable</t>
  </si>
  <si>
    <t>Retained Earnings  (@ 31 Dec 2024)</t>
  </si>
  <si>
    <t>Account Balances as at 31 Dec 2024</t>
  </si>
  <si>
    <t>@ 30 September 2025</t>
  </si>
  <si>
    <t>@ 31 Dec 2025</t>
  </si>
  <si>
    <t>Transactions (Sept - Dec)</t>
  </si>
  <si>
    <t>Balance @ 31 Dec 2025</t>
  </si>
  <si>
    <t>Balance @ 30 Sept 2025</t>
  </si>
  <si>
    <t>Property Plant and Equipment (PPE)</t>
  </si>
  <si>
    <t>(k)</t>
  </si>
  <si>
    <t>Consulting Fees</t>
  </si>
  <si>
    <t>Consulting Fees Payable</t>
  </si>
  <si>
    <t>Prepaid Salaries</t>
  </si>
  <si>
    <t>Unadjusted Trial Balance @ 31 Dec 2025</t>
  </si>
  <si>
    <t xml:space="preserve">Consulting Fees </t>
  </si>
  <si>
    <t xml:space="preserve">Hunt3X Coporation </t>
  </si>
  <si>
    <t>For the Year Ended 31 December 2025</t>
  </si>
  <si>
    <t>As at 31 December 2025</t>
  </si>
  <si>
    <t>ST Notes Payable</t>
  </si>
  <si>
    <t>TUTORIAL 4 SOLUTION</t>
  </si>
  <si>
    <t>The office that Hunt3X rented on 1 July 2025 (refer to Tutorial 3 part (a)) was in fact for two years instead of 1 year.</t>
  </si>
  <si>
    <t>The correct amount of rent expense for 2025 should have been:</t>
  </si>
  <si>
    <t>From Tutorial 4 Part (5)</t>
  </si>
  <si>
    <t xml:space="preserve">Deposits </t>
  </si>
  <si>
    <t xml:space="preserve">In an attempt to boost its revenues, Hunt3X had previously recorded a cash deposit it received from a customer in the amount of $9,000 into the “Sales Revenue” account. The cash deposit is refundable to the customer within a year. </t>
  </si>
  <si>
    <t>In an attempt to reduce reported expenses, Hunt3X had not recognized $5,000 of cost of goods sold, even though the inventory was sold and sales revenue was already recognized.</t>
  </si>
  <si>
    <t>Prepaid Expense</t>
  </si>
  <si>
    <t>The error caused expenses to be higher than they should have been, resulting in lower net income and total assets. Consequently, both the net profit margin and ROA were understated compared to what they would have been if rent expenses had been recorded correctly. For instance, the net profit margin should have been 0.157 instead of 0.137, and the ROA should have been 0.076 instead of 0.066. This omission makes Hunt3X’s financial performance appear worse than it actually is and is potentially misleading to users of its financial statements.</t>
  </si>
  <si>
    <t>Hunt3X incorrectly inflated its sales revenue and, consequently, its net income, while also understating its liabilities. The company should have reported a net income of $34,076 instead of $43,076. Without the erroneous sales entry, Hunt3X would have reported a lower net profit margin and ROA, along with a higher debt ratio. This misstatement has made Hunt3X’s financial performance appear better than it truly is, thereby misleading users of its financial statements.</t>
  </si>
  <si>
    <t xml:space="preserve">The error resulted in expenses being understated, leading to higher reported net income and total assets. Hunt3X should have reported a net income of $38,076 rather than $43,076. Consequently, the net profit margin and ROA should have been lower. This omission has made the company’s financial performance appear better than it truly is, thereby misleading users of its financial statements </t>
  </si>
  <si>
    <t>Hunt3X’s finance manager inflated the value of a prior PPE purchase (refer to Tutorial 2, part (h)) in order to embezzle funds from the company. A total of $100,000 in fictitious PPE was recorded, while the corresponding amount of cash was misappropriated by the finance manager and his accomplices in the company. (Ignore depreciation effects)</t>
  </si>
  <si>
    <t>decrease PPE</t>
  </si>
  <si>
    <t>increase Cash</t>
  </si>
  <si>
    <t>net effect is zero</t>
  </si>
  <si>
    <t>As the fabricated PPE is offset by an equivalent reduction in cash, total assets remain unchanged, so the net profit margin, ROA, and debt ratio are unaffected. However, the financial statements are still misleading because the asset composition is misstated. Users may misinterpret the company’s operational capacity and cash position, potentially leading to poor economic decisions. The misstatement also conceals embezzlement, which is a material fraud risk.</t>
  </si>
  <si>
    <t>Hunt3X incorrectly classified a $50,000 long-term debt as share capital.</t>
  </si>
  <si>
    <t>The long-term loan was mistakenly recorded as an increase in share capital rather than as a long-term liability, significantly affecting the debt ratio. Had Hunt3X recorded it correctly, the debt ratio would have been 0.211 instead of 0.15. This misclassification overstate's Hunt3X equity posiiton and understates its leverage, which is misleading to users of its financial statements. The error has no impact on the net profit margin or ROA.</t>
  </si>
  <si>
    <t>Closing Entries @ 31 December 2025</t>
  </si>
  <si>
    <t>1-60 days past due</t>
  </si>
  <si>
    <t>Loss Allowance unadjusted balance at 31 Dec 2025</t>
  </si>
  <si>
    <t>Loss Allowance target balance at 31 Dec 2025 (based on AR aging)</t>
  </si>
  <si>
    <t>Expected Credit Loss for 2025</t>
  </si>
  <si>
    <t>Balance at 31 Dec 2025 before ECL adjustment</t>
  </si>
  <si>
    <t>Balance at 31 Dec 2025 after ECL adjustment</t>
  </si>
  <si>
    <t>(iv)</t>
  </si>
  <si>
    <t xml:space="preserve">Loss Allowance unadjusted balance at 31 Dec 2026 </t>
  </si>
  <si>
    <t>Assuming there are no other writeoffs or recovery transactions in 2026:</t>
  </si>
  <si>
    <t>Loss Allowance target balance at 31 Dec 2026</t>
  </si>
  <si>
    <t>Expected Credit Loss for 2026</t>
  </si>
  <si>
    <t>The prior year’s allowance for uncollectible accounts may have been understated, as Hunt3X recognised a loss allowance of $1,541 at 31 December 2025 but subsequently wrote off $2,000 in 2026. However, part of the 2026 write-offs may relate to receivables that originated after 1 January 2026, and thus were not within the scope of the 2025 estimation. In addition, under IFRS 9’s Expected Credit Loss (ECL) model, the loss allowance is based on forward-looking information and management’s best estimate of expected defaults as of the reporting date. Unexpected credit events, such as a sudden bankruptcy, may not have been reasonably foreseeable at that time. As a results, over- or under-estimation of allowances is expected as updated facts become available in future periods.</t>
  </si>
  <si>
    <t>As the Kwima write-off resulted in an abnormal debit balance of $459 in Hunt3X’s Loss Allowance account (see part iii above), this must be considered when estimating the ECL for 2026. Based on the 2026 aging analysis, the required ending balance of the Loss Allowance account is $2,100. Accordingly, Hunt3X must recognise an ECL expense of $2,559 [$2,100 (target balance) + $459 (to offset the abnormal debit balance)] to adjust the Loss Allowance account from its current abnormal balance to the required credit balance of $2,100.</t>
  </si>
  <si>
    <t>Unaudited Inventory Balance at 31 Dec 2025</t>
  </si>
  <si>
    <t>Physical count of Inventory at 31 Dec 2025</t>
  </si>
  <si>
    <t>Inventory Shrinkage</t>
  </si>
  <si>
    <t>Adjusted Trial Balance @ 31 Dec 2025</t>
  </si>
  <si>
    <t>Audit Entries (from Tutorial 6 and Tutorial 7 )</t>
  </si>
  <si>
    <t>Tutorial 7</t>
  </si>
  <si>
    <t>Post Audit Trial Balance @ 31 Dec 2025</t>
  </si>
  <si>
    <t>NI Balance Check</t>
  </si>
  <si>
    <t>Property, Plant &amp; Equipment (PPE) (net)</t>
  </si>
  <si>
    <t>Hunt3X failed to record five months of marketing expenses, resulting in both the net profit margin and ROA being higher than they should have been. Its liabilities were also understated, which affected the debt ratio and made Hunt3X appear less leveraged than it truly was. This is misleading to its users of financial statements</t>
  </si>
  <si>
    <t>Balance Check</t>
  </si>
  <si>
    <t>Cost of Goods Sold (audited)</t>
  </si>
  <si>
    <t>Ending Inventory (audited)</t>
  </si>
  <si>
    <t>Average Collection Period 
(from Tutorial 6 part 3)</t>
  </si>
  <si>
    <t>12 units (Batch of 16-Jan -26)</t>
  </si>
  <si>
    <t>10 units (Batch of 24-Jan -26)</t>
  </si>
  <si>
    <t>22 units (Batch of 1-Jan-25)</t>
  </si>
  <si>
    <t>TUTORIAL 7 SOLUTION (Part 1 -3)</t>
  </si>
  <si>
    <t>TUTORIAL 7 SOLUTION (Part 4-5)</t>
  </si>
  <si>
    <t>TUTORIAL 6 SOLUTION</t>
  </si>
  <si>
    <t>In December, Hunt3X had received an invoice in the amount of $1,560 from a social media company for a 6 months marketing campaign that ends on 31 January 2026. Hunt3X decided to hold off on recording the invoice till 2026, and did not recognize any related expense in 2025.</t>
  </si>
  <si>
    <t>*Assuming cash is recovered from the employees</t>
  </si>
  <si>
    <t>Cash *</t>
  </si>
  <si>
    <t>Q3 Sales</t>
  </si>
  <si>
    <t>Q4 Sales</t>
  </si>
  <si>
    <t>Beg Balance (1 July 2026)</t>
  </si>
  <si>
    <t>Q3 Warranty Expense</t>
  </si>
  <si>
    <t>Q4 Warranty Used</t>
  </si>
  <si>
    <t>Q4 Warranty Expense</t>
  </si>
  <si>
    <t>Balance at end of Q4</t>
  </si>
  <si>
    <t>Balance at end of Q3</t>
  </si>
  <si>
    <t>Daily Interest (30k x 10% /360)</t>
  </si>
  <si>
    <t>30 Sept 2026 Journal Entry</t>
  </si>
  <si>
    <t>14 Sept 2026 Journal Entry</t>
  </si>
  <si>
    <t>31 Dec 2026 Journal Entry</t>
  </si>
  <si>
    <t>Interest for Q3 (16 days)</t>
  </si>
  <si>
    <t>Interest for Q4 (92 days)</t>
  </si>
  <si>
    <t>Date of Repayment: 12 January 2027</t>
  </si>
  <si>
    <t>Total Interest on the note (120 days)</t>
  </si>
  <si>
    <t>2026 Interest Expense</t>
  </si>
  <si>
    <t>2027 Interest Expense</t>
  </si>
  <si>
    <t>Part (1) Warranty:</t>
  </si>
  <si>
    <t>Unearned Revenue - Extended Warranties</t>
  </si>
  <si>
    <t>The accounting manager should explain to the CEO that under the revenue recognition principle, revenue is recognized only when performance obligations are satisfied. Therefore in this case, over the one-year extended warranty period. Recognizing the full $4,460 in 2026 would overstate revenue and net income for that year and mislead users of the financial statements. 
The proper treatment is to recognize the revenue systematically over the extended warranty period when the original warranty expires and the extended warranty starts. For example, on a straight line basis starting in Q4 of 2027, which means that Hunt3X would recognize $1,115 of revenue in Q4 of 2027 and Q1, Q2 and Q3 of 2028 respectively.</t>
  </si>
  <si>
    <t>Litigation Loss</t>
  </si>
  <si>
    <t>Provision for Litigation</t>
  </si>
  <si>
    <t>A 70% probability of occurrence is probable, therefore Hunt3X should record the $5,000 as a liability in its 2026 financial statement</t>
  </si>
  <si>
    <t xml:space="preserve">Since the probability of incurring fines levied by the government is less than 30%, this event would most likely be classified as reasonably possible. Hunt3X will not be required to record a liability, but futher information about the case should be disclosed in the notes to the 2026 financial statements. </t>
  </si>
  <si>
    <t>Event (d):</t>
  </si>
  <si>
    <t>Event (e):</t>
  </si>
  <si>
    <t>The accounting manager should insist on disclosing the CPSO investigation, as a reasonably possible contingent liability must be disclosed under accounting standards. Ethically, concealing it would violate integrity and objectivity, and mislead users of the financial statements. The manager should explain to the CEO that disclosure not only ensures compliance, but also protects Hunt3X’s credibility and strengthen stakeholders trust and transparency. If the CEO remains adamant, then the accounting manager should escalate the matter to the audit committee or board.</t>
  </si>
  <si>
    <t>Check NI balance with TB</t>
  </si>
  <si>
    <t>Non-current Assets:</t>
  </si>
  <si>
    <t>2025 Ratios</t>
  </si>
  <si>
    <t xml:space="preserve">Hunt3X has an operating cycle of 348 days, indicating that it takes Hunt3Xon average 348 days from the point inventory is purchased to selling it and receiving cash from its customer. However, Hunt3XI must pay its suppliers in 51 days, resulting in a net operating cyle of 298 days. This means that Hunt3X might need to seek financing to fund its operations for the 298 days either through equity or debt financing. </t>
  </si>
  <si>
    <t xml:space="preserve">If actual warranty claims consistently fall below the original estimate (e.g., 1% instead of 2%), Hunt3X should consider revising its provision rate downward to better reflect its operations. Reducing the estimate would lower the warranty expense recognized in the Income Statement, thereby increasing reported net income. 
However, since Hunt3X is a relatively new company without an established track record, management may choose to remain conservative and maintain a slightly higher estimate until more years of historical data are available. Exercising prudence helps avoid understating potential liabilities. Ultimately, if management is confident that the lower rate reflects the best current estimate, it would be appropriate to revise the provision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</si>
</sst>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_(&quot;$&quot;* \(#,##0.00\);_(&quot;$&quot;* &quot;-&quot;??_);_(@_)"/>
    <numFmt numFmtId="43" formatCode="_(* #,##0.00_);_(* \(#,##0.00\);_(* &quot;-&quot;??_);_(@_)"/>
    <numFmt numFmtId="164" formatCode="_-* #,##0.00_-;\-* #,##0.00_-;_-* &quot;-&quot;??_-;_-@_-"/>
    <numFmt numFmtId="165" formatCode="_(* #,##0_);_(* \(#,##0\);_(* &quot;-&quot;??_);_(@_)"/>
    <numFmt numFmtId="166" formatCode="\+#,##0_);\-#,##0"/>
    <numFmt numFmtId="167" formatCode="0.000"/>
    <numFmt numFmtId="168" formatCode="_(&quot;$&quot;* #,##0_);_(&quot;$&quot;* \(#,##0\);_(&quot;$&quot;* &quot;-&quot;??_);_(@_)"/>
    <numFmt numFmtId="169" formatCode="#,##0.000_);\(#,##0.000\)"/>
    <numFmt numFmtId="170" formatCode="_(* #,##0.000_);_(* \(#,##0.000\);_(* &quot;-&quot;??_);_(@_)"/>
    <numFmt numFmtId="171" formatCode="0.0"/>
    <numFmt numFmtId="172" formatCode="_-* #,##0_-;\-* #,##0_-;_-* &quot;-&quot;??_-;_-@_-"/>
    <numFmt numFmtId="173" formatCode="_(* #,##0.0_);_(* \(#,##0.0\);_(* &quot;-&quot;??_);_(@_)"/>
    <numFmt numFmtId="174" formatCode="#,##0;\(#,##0\)"/>
    <numFmt numFmtId="175" formatCode="_(* #,##0.0_);_(* \(#,##0.0\);_(* &quot;-&quot;?_);_(@_)"/>
  </numFmts>
  <fonts count="20" x14ac:knownFonts="1">
    <font>
      <sz val="11"/>
      <color theme="1"/>
      <name val="Calibri"/>
      <family val="2"/>
      <scheme val="minor"/>
    </font>
    <font>
      <b/>
      <sz val="11"/>
      <color theme="1"/>
      <name val="Calibri"/>
      <family val="2"/>
      <scheme val="minor"/>
    </font>
    <font>
      <sz val="11"/>
      <color theme="1"/>
      <name val="Calibri"/>
      <family val="2"/>
      <scheme val="minor"/>
    </font>
    <font>
      <b/>
      <u/>
      <sz val="14"/>
      <color theme="1"/>
      <name val="Calibri"/>
      <family val="2"/>
      <scheme val="minor"/>
    </font>
    <font>
      <i/>
      <sz val="11"/>
      <color theme="1"/>
      <name val="Calibri"/>
      <family val="2"/>
      <scheme val="minor"/>
    </font>
    <font>
      <b/>
      <i/>
      <sz val="11"/>
      <color theme="1"/>
      <name val="Calibri"/>
      <family val="2"/>
      <scheme val="minor"/>
    </font>
    <font>
      <b/>
      <u/>
      <sz val="11"/>
      <color theme="1"/>
      <name val="Calibri"/>
      <family val="2"/>
      <scheme val="minor"/>
    </font>
    <font>
      <b/>
      <sz val="12"/>
      <color theme="1"/>
      <name val="Calibri"/>
      <family val="2"/>
      <scheme val="minor"/>
    </font>
    <font>
      <b/>
      <sz val="11"/>
      <name val="Calibri"/>
      <family val="2"/>
      <scheme val="minor"/>
    </font>
    <font>
      <sz val="11"/>
      <name val="Calibri"/>
      <family val="2"/>
      <scheme val="minor"/>
    </font>
    <font>
      <i/>
      <sz val="11"/>
      <name val="Calibri"/>
      <family val="2"/>
      <scheme val="minor"/>
    </font>
    <font>
      <sz val="11"/>
      <color rgb="FF000000"/>
      <name val="Calibri"/>
      <family val="2"/>
      <scheme val="minor"/>
    </font>
    <font>
      <i/>
      <u/>
      <sz val="11"/>
      <color theme="1"/>
      <name val="Calibri"/>
      <family val="2"/>
      <scheme val="minor"/>
    </font>
    <font>
      <i/>
      <sz val="11"/>
      <color rgb="FF7030A0"/>
      <name val="Calibri"/>
      <family val="2"/>
      <scheme val="minor"/>
    </font>
    <font>
      <b/>
      <sz val="14"/>
      <color theme="1"/>
      <name val="Calibri"/>
      <family val="2"/>
      <scheme val="minor"/>
    </font>
    <font>
      <u/>
      <sz val="11"/>
      <color theme="1"/>
      <name val="Calibri"/>
      <family val="2"/>
      <scheme val="minor"/>
    </font>
    <font>
      <sz val="11"/>
      <color rgb="FFFF0000"/>
      <name val="Calibri"/>
      <family val="2"/>
      <scheme val="minor"/>
    </font>
    <font>
      <i/>
      <sz val="10"/>
      <color theme="1"/>
      <name val="Calibri"/>
      <family val="2"/>
      <scheme val="minor"/>
    </font>
    <font>
      <i/>
      <sz val="11"/>
      <color theme="5" tint="-0.249977111117893"/>
      <name val="Calibri"/>
      <family val="2"/>
      <scheme val="minor"/>
    </font>
    <font>
      <sz val="11"/>
      <color theme="5" tint="-0.249977111117893"/>
      <name val="Calibri"/>
      <family val="2"/>
      <scheme val="minor"/>
    </font>
  </fonts>
  <fills count="5">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s>
  <borders count="39">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right/>
      <top style="thin">
        <color indexed="64"/>
      </top>
      <bottom style="medium">
        <color indexed="64"/>
      </bottom>
      <diagonal/>
    </border>
    <border>
      <left/>
      <right style="thin">
        <color auto="1"/>
      </right>
      <top style="thin">
        <color indexed="64"/>
      </top>
      <bottom style="medium">
        <color indexed="64"/>
      </bottom>
      <diagonal/>
    </border>
    <border>
      <left/>
      <right/>
      <top/>
      <bottom style="double">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s>
  <cellStyleXfs count="5">
    <xf numFmtId="0" fontId="0" fillId="0" borderId="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9" fontId="2" fillId="0" borderId="0" applyFont="0" applyFill="0" applyBorder="0" applyAlignment="0" applyProtection="0"/>
  </cellStyleXfs>
  <cellXfs count="345">
    <xf numFmtId="0" fontId="0" fillId="0" borderId="0" xfId="0"/>
    <xf numFmtId="0" fontId="0" fillId="2" borderId="0" xfId="0" applyFill="1"/>
    <xf numFmtId="0" fontId="0" fillId="2" borderId="1" xfId="0" applyFill="1" applyBorder="1"/>
    <xf numFmtId="0" fontId="0" fillId="0" borderId="0" xfId="0" applyAlignment="1">
      <alignment horizontal="center"/>
    </xf>
    <xf numFmtId="0" fontId="0" fillId="2" borderId="6" xfId="0" applyFill="1" applyBorder="1"/>
    <xf numFmtId="0" fontId="0" fillId="2" borderId="10" xfId="0" applyFill="1" applyBorder="1"/>
    <xf numFmtId="0" fontId="1" fillId="3" borderId="0" xfId="0" applyFont="1" applyFill="1"/>
    <xf numFmtId="0" fontId="0" fillId="3" borderId="0" xfId="0" applyFill="1"/>
    <xf numFmtId="0" fontId="0" fillId="2" borderId="15" xfId="0" applyFill="1" applyBorder="1"/>
    <xf numFmtId="0" fontId="1" fillId="2" borderId="15" xfId="0" applyFont="1" applyFill="1" applyBorder="1" applyAlignment="1">
      <alignment horizontal="center"/>
    </xf>
    <xf numFmtId="0" fontId="1" fillId="2" borderId="2" xfId="0" applyFont="1" applyFill="1" applyBorder="1" applyAlignment="1">
      <alignment horizontal="center"/>
    </xf>
    <xf numFmtId="0" fontId="1" fillId="2" borderId="9" xfId="0" applyFont="1" applyFill="1" applyBorder="1" applyAlignment="1">
      <alignment horizontal="center"/>
    </xf>
    <xf numFmtId="0" fontId="0" fillId="2" borderId="2" xfId="0" applyFill="1" applyBorder="1" applyAlignment="1">
      <alignment horizontal="center"/>
    </xf>
    <xf numFmtId="166" fontId="0" fillId="2" borderId="15" xfId="0" applyNumberFormat="1" applyFill="1" applyBorder="1" applyAlignment="1">
      <alignment horizontal="center"/>
    </xf>
    <xf numFmtId="166" fontId="0" fillId="2" borderId="2" xfId="0" applyNumberFormat="1" applyFill="1" applyBorder="1" applyAlignment="1">
      <alignment horizontal="center"/>
    </xf>
    <xf numFmtId="166" fontId="0" fillId="2" borderId="9" xfId="0" applyNumberFormat="1" applyFill="1" applyBorder="1" applyAlignment="1">
      <alignment horizontal="center"/>
    </xf>
    <xf numFmtId="16" fontId="1" fillId="2" borderId="15" xfId="0" applyNumberFormat="1" applyFont="1" applyFill="1" applyBorder="1"/>
    <xf numFmtId="3" fontId="1" fillId="2" borderId="15" xfId="0" applyNumberFormat="1" applyFont="1" applyFill="1" applyBorder="1" applyAlignment="1">
      <alignment horizontal="center"/>
    </xf>
    <xf numFmtId="3" fontId="1" fillId="2" borderId="2" xfId="0" applyNumberFormat="1" applyFont="1" applyFill="1" applyBorder="1" applyAlignment="1">
      <alignment horizontal="center"/>
    </xf>
    <xf numFmtId="3" fontId="1" fillId="2" borderId="9" xfId="0" applyNumberFormat="1" applyFont="1" applyFill="1" applyBorder="1" applyAlignment="1">
      <alignment horizontal="center"/>
    </xf>
    <xf numFmtId="0" fontId="1" fillId="2" borderId="4" xfId="0" applyFont="1" applyFill="1" applyBorder="1" applyAlignment="1">
      <alignment horizontal="center"/>
    </xf>
    <xf numFmtId="0" fontId="1" fillId="2" borderId="17" xfId="0" applyFont="1" applyFill="1" applyBorder="1" applyAlignment="1">
      <alignment horizontal="center"/>
    </xf>
    <xf numFmtId="0" fontId="1" fillId="2" borderId="17" xfId="0" applyFont="1" applyFill="1" applyBorder="1" applyAlignment="1">
      <alignment horizontal="left"/>
    </xf>
    <xf numFmtId="0" fontId="1" fillId="2" borderId="17" xfId="0" applyFont="1" applyFill="1" applyBorder="1"/>
    <xf numFmtId="165" fontId="0" fillId="2" borderId="6" xfId="1" applyNumberFormat="1" applyFont="1" applyFill="1" applyBorder="1" applyAlignment="1">
      <alignment horizontal="center" vertical="top"/>
    </xf>
    <xf numFmtId="165" fontId="0" fillId="2" borderId="12" xfId="1" applyNumberFormat="1" applyFont="1" applyFill="1" applyBorder="1" applyAlignment="1">
      <alignment horizontal="center" vertical="top"/>
    </xf>
    <xf numFmtId="165" fontId="1" fillId="2" borderId="15" xfId="1" applyNumberFormat="1" applyFont="1" applyFill="1" applyBorder="1" applyAlignment="1">
      <alignment horizontal="center" vertical="top"/>
    </xf>
    <xf numFmtId="165" fontId="1" fillId="2" borderId="17" xfId="1" applyNumberFormat="1" applyFont="1" applyFill="1" applyBorder="1" applyAlignment="1">
      <alignment horizontal="center" vertical="top"/>
    </xf>
    <xf numFmtId="0" fontId="1" fillId="2" borderId="0" xfId="0" applyFont="1" applyFill="1"/>
    <xf numFmtId="0" fontId="1" fillId="2" borderId="15" xfId="0" applyFont="1" applyFill="1" applyBorder="1"/>
    <xf numFmtId="0" fontId="1" fillId="2" borderId="2" xfId="0" applyFont="1" applyFill="1" applyBorder="1"/>
    <xf numFmtId="0" fontId="0" fillId="2" borderId="0" xfId="0" applyFill="1" applyAlignment="1">
      <alignment horizontal="center"/>
    </xf>
    <xf numFmtId="0" fontId="0" fillId="2" borderId="7" xfId="0" applyFill="1" applyBorder="1"/>
    <xf numFmtId="16" fontId="1" fillId="2" borderId="6" xfId="0" applyNumberFormat="1" applyFont="1" applyFill="1" applyBorder="1"/>
    <xf numFmtId="0" fontId="1" fillId="2" borderId="0" xfId="0" applyFont="1" applyFill="1" applyAlignment="1">
      <alignment horizontal="center"/>
    </xf>
    <xf numFmtId="3" fontId="1" fillId="2" borderId="0" xfId="0" applyNumberFormat="1" applyFont="1" applyFill="1"/>
    <xf numFmtId="0" fontId="1" fillId="2" borderId="7" xfId="0" applyFont="1" applyFill="1" applyBorder="1"/>
    <xf numFmtId="0" fontId="1" fillId="2" borderId="6" xfId="0" applyFont="1" applyFill="1" applyBorder="1"/>
    <xf numFmtId="3" fontId="1" fillId="2" borderId="7" xfId="0" applyNumberFormat="1" applyFont="1" applyFill="1" applyBorder="1"/>
    <xf numFmtId="16" fontId="1" fillId="2" borderId="6" xfId="0" quotePrefix="1" applyNumberFormat="1" applyFont="1" applyFill="1" applyBorder="1"/>
    <xf numFmtId="0" fontId="1" fillId="2" borderId="6" xfId="0" quotePrefix="1" applyFont="1" applyFill="1" applyBorder="1"/>
    <xf numFmtId="165" fontId="1" fillId="2" borderId="14" xfId="1" applyNumberFormat="1" applyFont="1" applyFill="1" applyBorder="1"/>
    <xf numFmtId="165" fontId="1" fillId="2" borderId="16" xfId="1" applyNumberFormat="1" applyFont="1" applyFill="1" applyBorder="1"/>
    <xf numFmtId="0" fontId="0" fillId="2" borderId="8" xfId="0" applyFill="1" applyBorder="1"/>
    <xf numFmtId="0" fontId="5" fillId="2" borderId="1" xfId="0" applyFont="1" applyFill="1" applyBorder="1" applyAlignment="1">
      <alignment horizontal="center"/>
    </xf>
    <xf numFmtId="0" fontId="5" fillId="2" borderId="8" xfId="0" applyFont="1" applyFill="1" applyBorder="1" applyAlignment="1">
      <alignment horizontal="center"/>
    </xf>
    <xf numFmtId="3" fontId="1" fillId="2" borderId="6" xfId="0" applyNumberFormat="1" applyFont="1" applyFill="1" applyBorder="1" applyAlignment="1">
      <alignment horizontal="center"/>
    </xf>
    <xf numFmtId="0" fontId="1" fillId="2" borderId="7" xfId="0" applyFont="1" applyFill="1" applyBorder="1" applyAlignment="1">
      <alignment horizontal="center"/>
    </xf>
    <xf numFmtId="16" fontId="4" fillId="2" borderId="0" xfId="0" applyNumberFormat="1" applyFont="1" applyFill="1" applyAlignment="1">
      <alignment horizontal="center"/>
    </xf>
    <xf numFmtId="3" fontId="4" fillId="2" borderId="0" xfId="0" applyNumberFormat="1" applyFont="1" applyFill="1"/>
    <xf numFmtId="0" fontId="4" fillId="2" borderId="7" xfId="0" applyFont="1" applyFill="1" applyBorder="1"/>
    <xf numFmtId="0" fontId="5" fillId="2" borderId="6" xfId="0" applyFont="1" applyFill="1" applyBorder="1"/>
    <xf numFmtId="3" fontId="0" fillId="2" borderId="7" xfId="0" applyNumberFormat="1" applyFill="1" applyBorder="1"/>
    <xf numFmtId="3" fontId="0" fillId="2" borderId="0" xfId="0" applyNumberFormat="1" applyFill="1"/>
    <xf numFmtId="3" fontId="4" fillId="2" borderId="7" xfId="0" applyNumberFormat="1" applyFont="1" applyFill="1" applyBorder="1"/>
    <xf numFmtId="0" fontId="1" fillId="2" borderId="6" xfId="0" applyFont="1" applyFill="1" applyBorder="1" applyAlignment="1">
      <alignment horizontal="center"/>
    </xf>
    <xf numFmtId="3" fontId="1" fillId="2" borderId="7" xfId="0" applyNumberFormat="1" applyFont="1" applyFill="1" applyBorder="1" applyAlignment="1">
      <alignment horizontal="center"/>
    </xf>
    <xf numFmtId="3" fontId="4" fillId="2" borderId="0" xfId="0" applyNumberFormat="1" applyFont="1" applyFill="1" applyAlignment="1">
      <alignment horizontal="center"/>
    </xf>
    <xf numFmtId="0" fontId="4" fillId="2" borderId="0" xfId="0" applyFont="1" applyFill="1"/>
    <xf numFmtId="0" fontId="1" fillId="2" borderId="10" xfId="0" applyFont="1" applyFill="1" applyBorder="1"/>
    <xf numFmtId="165" fontId="1" fillId="2" borderId="15" xfId="1" applyNumberFormat="1" applyFont="1" applyFill="1" applyBorder="1" applyAlignment="1">
      <alignment horizontal="center"/>
    </xf>
    <xf numFmtId="165" fontId="1" fillId="2" borderId="9" xfId="1" applyNumberFormat="1" applyFont="1" applyFill="1" applyBorder="1" applyAlignment="1">
      <alignment horizontal="center"/>
    </xf>
    <xf numFmtId="165" fontId="4" fillId="2" borderId="2" xfId="1" applyNumberFormat="1" applyFont="1" applyFill="1" applyBorder="1" applyAlignment="1">
      <alignment horizontal="center"/>
    </xf>
    <xf numFmtId="165" fontId="0" fillId="2" borderId="2" xfId="1" applyNumberFormat="1" applyFont="1" applyFill="1" applyBorder="1" applyAlignment="1">
      <alignment horizontal="center"/>
    </xf>
    <xf numFmtId="165" fontId="0" fillId="2" borderId="9" xfId="1" applyNumberFormat="1" applyFont="1" applyFill="1" applyBorder="1" applyAlignment="1">
      <alignment horizontal="center"/>
    </xf>
    <xf numFmtId="165" fontId="1" fillId="2" borderId="2" xfId="1" applyNumberFormat="1" applyFont="1" applyFill="1" applyBorder="1" applyAlignment="1">
      <alignment horizontal="center"/>
    </xf>
    <xf numFmtId="0" fontId="0" fillId="2" borderId="17" xfId="0" applyFill="1" applyBorder="1"/>
    <xf numFmtId="0" fontId="3" fillId="2" borderId="0" xfId="0" applyFont="1" applyFill="1"/>
    <xf numFmtId="37" fontId="0" fillId="2" borderId="9" xfId="0" applyNumberFormat="1" applyFill="1" applyBorder="1" applyAlignment="1">
      <alignment horizontal="center"/>
    </xf>
    <xf numFmtId="0" fontId="0" fillId="3" borderId="0" xfId="0" applyFill="1" applyAlignment="1">
      <alignment horizontal="center"/>
    </xf>
    <xf numFmtId="0" fontId="5" fillId="2" borderId="0" xfId="0" applyFont="1" applyFill="1" applyAlignment="1">
      <alignment horizontal="center"/>
    </xf>
    <xf numFmtId="43" fontId="0" fillId="2" borderId="0" xfId="1" applyFont="1" applyFill="1" applyBorder="1" applyAlignment="1">
      <alignment horizontal="center" vertical="top"/>
    </xf>
    <xf numFmtId="0" fontId="0" fillId="2" borderId="3" xfId="0" applyFill="1" applyBorder="1" applyAlignment="1">
      <alignment horizontal="center"/>
    </xf>
    <xf numFmtId="166" fontId="0" fillId="2" borderId="0" xfId="0" applyNumberFormat="1" applyFill="1" applyAlignment="1">
      <alignment horizontal="center"/>
    </xf>
    <xf numFmtId="37" fontId="0" fillId="2" borderId="17" xfId="0" applyNumberFormat="1" applyFill="1" applyBorder="1" applyAlignment="1">
      <alignment horizontal="center"/>
    </xf>
    <xf numFmtId="167" fontId="1" fillId="2" borderId="17" xfId="0" applyNumberFormat="1" applyFont="1" applyFill="1" applyBorder="1" applyAlignment="1">
      <alignment horizontal="center"/>
    </xf>
    <xf numFmtId="165" fontId="4" fillId="2" borderId="0" xfId="0" applyNumberFormat="1" applyFont="1" applyFill="1"/>
    <xf numFmtId="165" fontId="0" fillId="2" borderId="0" xfId="0" applyNumberFormat="1" applyFill="1"/>
    <xf numFmtId="0" fontId="0" fillId="2" borderId="9" xfId="0" applyFill="1" applyBorder="1" applyAlignment="1">
      <alignment horizontal="center"/>
    </xf>
    <xf numFmtId="0" fontId="5" fillId="2" borderId="6" xfId="0" applyFont="1" applyFill="1" applyBorder="1" applyAlignment="1">
      <alignment horizontal="left" vertical="center"/>
    </xf>
    <xf numFmtId="0" fontId="1" fillId="2" borderId="1" xfId="0" applyFont="1" applyFill="1" applyBorder="1" applyAlignment="1">
      <alignment horizontal="center"/>
    </xf>
    <xf numFmtId="0" fontId="1" fillId="2" borderId="8" xfId="0" applyFont="1" applyFill="1" applyBorder="1" applyAlignment="1">
      <alignment horizontal="center"/>
    </xf>
    <xf numFmtId="0" fontId="1" fillId="2" borderId="10" xfId="0" applyFont="1" applyFill="1" applyBorder="1" applyAlignment="1">
      <alignment horizontal="center"/>
    </xf>
    <xf numFmtId="0" fontId="4" fillId="3" borderId="0" xfId="0" applyFont="1" applyFill="1"/>
    <xf numFmtId="0" fontId="4" fillId="2" borderId="1" xfId="0" applyFont="1" applyFill="1" applyBorder="1" applyAlignment="1">
      <alignment horizontal="center"/>
    </xf>
    <xf numFmtId="0" fontId="4" fillId="2" borderId="8" xfId="0" applyFont="1" applyFill="1" applyBorder="1" applyAlignment="1">
      <alignment horizontal="center"/>
    </xf>
    <xf numFmtId="0" fontId="4" fillId="2" borderId="0" xfId="0" applyFont="1" applyFill="1" applyAlignment="1">
      <alignment horizontal="center"/>
    </xf>
    <xf numFmtId="0" fontId="1" fillId="2" borderId="7" xfId="0" quotePrefix="1" applyFont="1" applyFill="1" applyBorder="1" applyAlignment="1">
      <alignment horizontal="center"/>
    </xf>
    <xf numFmtId="0" fontId="0" fillId="2" borderId="7" xfId="0" applyFill="1" applyBorder="1" applyAlignment="1">
      <alignment horizontal="center"/>
    </xf>
    <xf numFmtId="0" fontId="0" fillId="2" borderId="1" xfId="0" applyFill="1" applyBorder="1" applyAlignment="1">
      <alignment horizontal="center"/>
    </xf>
    <xf numFmtId="0" fontId="0" fillId="2" borderId="8" xfId="0" applyFill="1" applyBorder="1" applyAlignment="1">
      <alignment horizontal="center"/>
    </xf>
    <xf numFmtId="168" fontId="0" fillId="2" borderId="18" xfId="2" applyNumberFormat="1" applyFont="1" applyFill="1" applyBorder="1"/>
    <xf numFmtId="168" fontId="0" fillId="2" borderId="0" xfId="2" applyNumberFormat="1" applyFont="1" applyFill="1" applyBorder="1"/>
    <xf numFmtId="168" fontId="0" fillId="2" borderId="19" xfId="2" applyNumberFormat="1" applyFont="1" applyFill="1" applyBorder="1"/>
    <xf numFmtId="0" fontId="1" fillId="2" borderId="8" xfId="0" applyFont="1" applyFill="1" applyBorder="1"/>
    <xf numFmtId="165" fontId="4" fillId="2" borderId="9" xfId="1" applyNumberFormat="1" applyFont="1" applyFill="1" applyBorder="1" applyAlignment="1">
      <alignment horizontal="center"/>
    </xf>
    <xf numFmtId="0" fontId="0" fillId="2" borderId="6" xfId="0" quotePrefix="1" applyFill="1" applyBorder="1"/>
    <xf numFmtId="3" fontId="0" fillId="2" borderId="0" xfId="0" applyNumberFormat="1" applyFill="1" applyAlignment="1">
      <alignment horizontal="right"/>
    </xf>
    <xf numFmtId="0" fontId="0" fillId="2" borderId="3" xfId="0" quotePrefix="1" applyFill="1" applyBorder="1"/>
    <xf numFmtId="0" fontId="0" fillId="2" borderId="3" xfId="0" applyFill="1" applyBorder="1"/>
    <xf numFmtId="37" fontId="0" fillId="2" borderId="3" xfId="0" applyNumberFormat="1" applyFill="1" applyBorder="1" applyAlignment="1">
      <alignment horizontal="center"/>
    </xf>
    <xf numFmtId="0" fontId="0" fillId="2" borderId="0" xfId="0" quotePrefix="1" applyFill="1"/>
    <xf numFmtId="37" fontId="0" fillId="2" borderId="0" xfId="0" applyNumberFormat="1" applyFill="1" applyAlignment="1">
      <alignment horizontal="center"/>
    </xf>
    <xf numFmtId="3" fontId="0" fillId="3" borderId="0" xfId="0" applyNumberFormat="1" applyFill="1" applyAlignment="1">
      <alignment horizontal="right"/>
    </xf>
    <xf numFmtId="3" fontId="0" fillId="3" borderId="0" xfId="0" applyNumberFormat="1" applyFill="1"/>
    <xf numFmtId="0" fontId="6" fillId="2" borderId="0" xfId="0" applyFont="1" applyFill="1" applyAlignment="1">
      <alignment horizontal="center"/>
    </xf>
    <xf numFmtId="170" fontId="8" fillId="2" borderId="17" xfId="1" applyNumberFormat="1" applyFont="1" applyFill="1" applyBorder="1" applyAlignment="1">
      <alignment horizontal="center" wrapText="1"/>
    </xf>
    <xf numFmtId="0" fontId="8" fillId="2" borderId="17" xfId="0" applyFont="1" applyFill="1" applyBorder="1"/>
    <xf numFmtId="165" fontId="9" fillId="2" borderId="17" xfId="1" applyNumberFormat="1" applyFont="1" applyFill="1" applyBorder="1" applyAlignment="1">
      <alignment horizontal="center" wrapText="1"/>
    </xf>
    <xf numFmtId="0" fontId="9" fillId="2" borderId="17" xfId="0" applyFont="1" applyFill="1" applyBorder="1"/>
    <xf numFmtId="0" fontId="8" fillId="2" borderId="11" xfId="1" applyNumberFormat="1" applyFont="1" applyFill="1" applyBorder="1" applyAlignment="1">
      <alignment horizontal="center" wrapText="1"/>
    </xf>
    <xf numFmtId="0" fontId="10" fillId="2" borderId="11" xfId="0" applyFont="1" applyFill="1" applyBorder="1" applyAlignment="1">
      <alignment horizontal="right"/>
    </xf>
    <xf numFmtId="0" fontId="11" fillId="2" borderId="0" xfId="0" applyFont="1" applyFill="1" applyAlignment="1">
      <alignment horizontal="left" vertical="top" wrapText="1"/>
    </xf>
    <xf numFmtId="0" fontId="6" fillId="2" borderId="0" xfId="0" applyFont="1" applyFill="1" applyAlignment="1">
      <alignment horizontal="center" wrapText="1"/>
    </xf>
    <xf numFmtId="0" fontId="11" fillId="3" borderId="0" xfId="0" applyFont="1" applyFill="1" applyAlignment="1">
      <alignment horizontal="left" vertical="top" wrapText="1"/>
    </xf>
    <xf numFmtId="37" fontId="1" fillId="2" borderId="14" xfId="0" applyNumberFormat="1" applyFont="1" applyFill="1" applyBorder="1" applyAlignment="1">
      <alignment horizontal="center"/>
    </xf>
    <xf numFmtId="37" fontId="0" fillId="2" borderId="1" xfId="0" applyNumberFormat="1" applyFill="1" applyBorder="1" applyAlignment="1">
      <alignment horizontal="center"/>
    </xf>
    <xf numFmtId="3" fontId="0" fillId="2" borderId="14" xfId="0" applyNumberFormat="1" applyFill="1" applyBorder="1" applyAlignment="1">
      <alignment horizontal="center"/>
    </xf>
    <xf numFmtId="0" fontId="1" fillId="2" borderId="14" xfId="0" applyFont="1" applyFill="1" applyBorder="1"/>
    <xf numFmtId="3" fontId="1" fillId="2" borderId="0" xfId="0" applyNumberFormat="1" applyFont="1" applyFill="1" applyAlignment="1">
      <alignment horizontal="center"/>
    </xf>
    <xf numFmtId="3" fontId="0" fillId="2" borderId="0" xfId="0" applyNumberFormat="1" applyFill="1" applyAlignment="1">
      <alignment horizontal="center"/>
    </xf>
    <xf numFmtId="15" fontId="1" fillId="2" borderId="0" xfId="0" applyNumberFormat="1" applyFont="1" applyFill="1" applyAlignment="1">
      <alignment horizontal="center" wrapText="1"/>
    </xf>
    <xf numFmtId="15" fontId="1" fillId="2" borderId="0" xfId="0" quotePrefix="1" applyNumberFormat="1" applyFont="1" applyFill="1" applyAlignment="1">
      <alignment horizontal="center"/>
    </xf>
    <xf numFmtId="0" fontId="0" fillId="2" borderId="0" xfId="0" applyFill="1" applyAlignment="1">
      <alignment horizontal="left" indent="3"/>
    </xf>
    <xf numFmtId="0" fontId="6" fillId="2" borderId="0" xfId="0" applyFont="1" applyFill="1"/>
    <xf numFmtId="37" fontId="1" fillId="2" borderId="20" xfId="0" applyNumberFormat="1" applyFont="1" applyFill="1" applyBorder="1" applyAlignment="1">
      <alignment horizontal="center"/>
    </xf>
    <xf numFmtId="3" fontId="1" fillId="2" borderId="17" xfId="1" applyNumberFormat="1" applyFont="1" applyFill="1" applyBorder="1" applyAlignment="1">
      <alignment horizontal="center" vertical="center"/>
    </xf>
    <xf numFmtId="9" fontId="0" fillId="2" borderId="17" xfId="4" applyFont="1" applyFill="1" applyBorder="1" applyAlignment="1">
      <alignment horizontal="center"/>
    </xf>
    <xf numFmtId="3" fontId="0" fillId="2" borderId="17" xfId="1" applyNumberFormat="1" applyFont="1" applyFill="1" applyBorder="1" applyAlignment="1">
      <alignment horizontal="center" vertical="center"/>
    </xf>
    <xf numFmtId="0" fontId="0" fillId="2" borderId="17" xfId="0" applyFill="1" applyBorder="1" applyAlignment="1">
      <alignment horizontal="left"/>
    </xf>
    <xf numFmtId="0" fontId="1" fillId="2" borderId="17" xfId="0" applyFont="1" applyFill="1" applyBorder="1" applyAlignment="1">
      <alignment horizontal="center" wrapText="1"/>
    </xf>
    <xf numFmtId="0" fontId="1" fillId="2" borderId="0" xfId="0" applyFont="1" applyFill="1" applyAlignment="1">
      <alignment horizontal="center" vertical="top"/>
    </xf>
    <xf numFmtId="37" fontId="0" fillId="2" borderId="0" xfId="0" applyNumberFormat="1" applyFill="1"/>
    <xf numFmtId="0" fontId="0" fillId="0" borderId="0" xfId="0" applyAlignment="1">
      <alignment horizontal="center" vertical="top"/>
    </xf>
    <xf numFmtId="0" fontId="0" fillId="2" borderId="0" xfId="0" applyFill="1" applyAlignment="1">
      <alignment vertical="center"/>
    </xf>
    <xf numFmtId="169" fontId="1" fillId="2" borderId="0" xfId="0" applyNumberFormat="1" applyFont="1" applyFill="1"/>
    <xf numFmtId="0" fontId="1" fillId="2" borderId="0" xfId="0" applyFont="1" applyFill="1" applyAlignment="1">
      <alignment vertical="top"/>
    </xf>
    <xf numFmtId="0" fontId="0" fillId="0" borderId="0" xfId="0" applyAlignment="1">
      <alignment horizontal="left" vertical="top" wrapText="1"/>
    </xf>
    <xf numFmtId="0" fontId="0" fillId="2" borderId="0" xfId="0" applyFill="1" applyAlignment="1">
      <alignment horizontal="left" vertical="top" wrapText="1"/>
    </xf>
    <xf numFmtId="165" fontId="0" fillId="0" borderId="0" xfId="0" applyNumberFormat="1" applyAlignment="1">
      <alignment horizontal="center"/>
    </xf>
    <xf numFmtId="165" fontId="0" fillId="0" borderId="0" xfId="0" applyNumberFormat="1"/>
    <xf numFmtId="165" fontId="1" fillId="2" borderId="0" xfId="1" applyNumberFormat="1" applyFont="1" applyFill="1" applyBorder="1"/>
    <xf numFmtId="16" fontId="0" fillId="2" borderId="15" xfId="0" applyNumberFormat="1" applyFill="1" applyBorder="1" applyAlignment="1">
      <alignment horizontal="center" vertical="center"/>
    </xf>
    <xf numFmtId="0" fontId="0" fillId="2" borderId="15" xfId="0" applyFill="1" applyBorder="1" applyAlignment="1">
      <alignment horizontal="center" vertical="center"/>
    </xf>
    <xf numFmtId="0" fontId="1" fillId="2" borderId="2" xfId="0" quotePrefix="1" applyFont="1" applyFill="1" applyBorder="1" applyAlignment="1">
      <alignment horizontal="center"/>
    </xf>
    <xf numFmtId="0" fontId="1" fillId="2" borderId="0" xfId="0" applyFont="1" applyFill="1" applyAlignment="1">
      <alignment horizontal="left" vertical="top" wrapText="1"/>
    </xf>
    <xf numFmtId="0" fontId="0" fillId="2" borderId="4" xfId="0" applyFill="1" applyBorder="1" applyAlignment="1">
      <alignment horizontal="center" vertical="center"/>
    </xf>
    <xf numFmtId="4" fontId="0" fillId="2" borderId="0" xfId="0" applyNumberFormat="1" applyFill="1"/>
    <xf numFmtId="0" fontId="0" fillId="2" borderId="0" xfId="0" applyFill="1" applyAlignment="1">
      <alignment horizontal="left" vertical="top"/>
    </xf>
    <xf numFmtId="37" fontId="0" fillId="2" borderId="0" xfId="0" applyNumberFormat="1" applyFill="1" applyAlignment="1">
      <alignment horizontal="left" vertical="top" wrapText="1"/>
    </xf>
    <xf numFmtId="0" fontId="0" fillId="2" borderId="2" xfId="0" applyFill="1" applyBorder="1" applyAlignment="1">
      <alignment horizontal="left" vertical="top"/>
    </xf>
    <xf numFmtId="0" fontId="1" fillId="2" borderId="2" xfId="0" applyFont="1" applyFill="1" applyBorder="1" applyAlignment="1">
      <alignment horizontal="left" vertical="top" wrapText="1"/>
    </xf>
    <xf numFmtId="37" fontId="0" fillId="2" borderId="2" xfId="0" applyNumberFormat="1" applyFill="1" applyBorder="1" applyAlignment="1">
      <alignment horizontal="left" vertical="top" wrapText="1"/>
    </xf>
    <xf numFmtId="0" fontId="8" fillId="2" borderId="0" xfId="0" applyFont="1" applyFill="1"/>
    <xf numFmtId="170" fontId="8" fillId="2" borderId="0" xfId="1" applyNumberFormat="1" applyFont="1" applyFill="1" applyBorder="1" applyAlignment="1">
      <alignment horizontal="center" wrapText="1"/>
    </xf>
    <xf numFmtId="15" fontId="0" fillId="2" borderId="0" xfId="0" applyNumberFormat="1" applyFill="1"/>
    <xf numFmtId="167" fontId="0" fillId="2" borderId="0" xfId="0" applyNumberFormat="1" applyFill="1"/>
    <xf numFmtId="0" fontId="0" fillId="2" borderId="0" xfId="0" applyFill="1" applyAlignment="1">
      <alignment wrapText="1"/>
    </xf>
    <xf numFmtId="167" fontId="1" fillId="2" borderId="0" xfId="0" applyNumberFormat="1" applyFont="1" applyFill="1"/>
    <xf numFmtId="0" fontId="4" fillId="2" borderId="0" xfId="0" applyFont="1" applyFill="1" applyAlignment="1">
      <alignment horizontal="left" vertical="top"/>
    </xf>
    <xf numFmtId="0" fontId="4" fillId="2" borderId="0" xfId="0" applyFont="1" applyFill="1" applyAlignment="1">
      <alignment vertical="top"/>
    </xf>
    <xf numFmtId="3" fontId="0" fillId="2" borderId="1" xfId="0" applyNumberFormat="1" applyFill="1" applyBorder="1"/>
    <xf numFmtId="0" fontId="1" fillId="0" borderId="0" xfId="0" applyFont="1"/>
    <xf numFmtId="165" fontId="0" fillId="0" borderId="0" xfId="1" applyNumberFormat="1" applyFont="1"/>
    <xf numFmtId="44" fontId="0" fillId="0" borderId="0" xfId="2" applyFont="1"/>
    <xf numFmtId="44" fontId="0" fillId="0" borderId="0" xfId="0" applyNumberFormat="1"/>
    <xf numFmtId="0" fontId="0" fillId="0" borderId="2" xfId="0" applyBorder="1"/>
    <xf numFmtId="44" fontId="0" fillId="0" borderId="2" xfId="0" applyNumberFormat="1" applyBorder="1"/>
    <xf numFmtId="165" fontId="0" fillId="0" borderId="2" xfId="0" applyNumberFormat="1" applyBorder="1"/>
    <xf numFmtId="0" fontId="1" fillId="0" borderId="17" xfId="0" applyFont="1" applyBorder="1" applyAlignment="1">
      <alignment horizontal="center"/>
    </xf>
    <xf numFmtId="15" fontId="0" fillId="0" borderId="17" xfId="0" applyNumberFormat="1" applyBorder="1"/>
    <xf numFmtId="0" fontId="0" fillId="0" borderId="17" xfId="0" applyBorder="1"/>
    <xf numFmtId="44" fontId="0" fillId="0" borderId="17" xfId="2" applyFont="1" applyBorder="1"/>
    <xf numFmtId="15" fontId="0" fillId="0" borderId="0" xfId="0" applyNumberFormat="1" applyAlignment="1">
      <alignment horizontal="left" indent="2"/>
    </xf>
    <xf numFmtId="0" fontId="0" fillId="0" borderId="0" xfId="0" applyAlignment="1">
      <alignment horizontal="left" indent="2"/>
    </xf>
    <xf numFmtId="0" fontId="0" fillId="0" borderId="1" xfId="0" applyBorder="1"/>
    <xf numFmtId="165" fontId="0" fillId="0" borderId="1" xfId="0" applyNumberFormat="1" applyBorder="1"/>
    <xf numFmtId="44" fontId="0" fillId="0" borderId="2" xfId="2" applyFont="1" applyBorder="1"/>
    <xf numFmtId="0" fontId="1" fillId="2" borderId="26" xfId="0" applyFont="1" applyFill="1" applyBorder="1" applyAlignment="1">
      <alignment horizontal="center" wrapText="1"/>
    </xf>
    <xf numFmtId="0" fontId="1" fillId="2" borderId="27" xfId="0" applyFont="1" applyFill="1" applyBorder="1" applyAlignment="1">
      <alignment horizontal="center" wrapText="1"/>
    </xf>
    <xf numFmtId="0" fontId="1" fillId="2" borderId="28" xfId="0" applyFont="1" applyFill="1" applyBorder="1" applyAlignment="1">
      <alignment horizontal="center" wrapText="1"/>
    </xf>
    <xf numFmtId="16" fontId="0" fillId="2" borderId="21" xfId="0" applyNumberFormat="1" applyFill="1" applyBorder="1"/>
    <xf numFmtId="165" fontId="0" fillId="2" borderId="29" xfId="0" applyNumberFormat="1" applyFill="1" applyBorder="1"/>
    <xf numFmtId="2" fontId="0" fillId="2" borderId="30" xfId="0" applyNumberFormat="1" applyFill="1" applyBorder="1"/>
    <xf numFmtId="172" fontId="0" fillId="2" borderId="31" xfId="3" applyNumberFormat="1" applyFont="1" applyFill="1" applyBorder="1"/>
    <xf numFmtId="0" fontId="0" fillId="2" borderId="29" xfId="0" applyFill="1" applyBorder="1"/>
    <xf numFmtId="0" fontId="0" fillId="2" borderId="30" xfId="0" applyFill="1" applyBorder="1"/>
    <xf numFmtId="0" fontId="0" fillId="2" borderId="31" xfId="0" applyFill="1" applyBorder="1"/>
    <xf numFmtId="43" fontId="0" fillId="2" borderId="31" xfId="3" applyFont="1" applyFill="1" applyBorder="1"/>
    <xf numFmtId="16" fontId="0" fillId="2" borderId="32" xfId="0" applyNumberFormat="1" applyFill="1" applyBorder="1"/>
    <xf numFmtId="165" fontId="0" fillId="2" borderId="33" xfId="0" applyNumberFormat="1" applyFill="1" applyBorder="1"/>
    <xf numFmtId="2" fontId="0" fillId="2" borderId="12" xfId="0" applyNumberFormat="1" applyFill="1" applyBorder="1"/>
    <xf numFmtId="172" fontId="0" fillId="2" borderId="34" xfId="3" applyNumberFormat="1" applyFont="1" applyFill="1" applyBorder="1"/>
    <xf numFmtId="0" fontId="0" fillId="2" borderId="33" xfId="0" applyFill="1" applyBorder="1"/>
    <xf numFmtId="0" fontId="0" fillId="2" borderId="12" xfId="0" applyFill="1" applyBorder="1"/>
    <xf numFmtId="165" fontId="0" fillId="2" borderId="35" xfId="0" applyNumberFormat="1" applyFill="1" applyBorder="1"/>
    <xf numFmtId="2" fontId="0" fillId="2" borderId="13" xfId="0" applyNumberFormat="1" applyFill="1" applyBorder="1"/>
    <xf numFmtId="43" fontId="0" fillId="2" borderId="36" xfId="3" applyFont="1" applyFill="1" applyBorder="1"/>
    <xf numFmtId="2" fontId="1" fillId="2" borderId="17" xfId="0" applyNumberFormat="1" applyFont="1" applyFill="1" applyBorder="1"/>
    <xf numFmtId="43" fontId="1" fillId="2" borderId="38" xfId="3" applyFont="1" applyFill="1" applyBorder="1"/>
    <xf numFmtId="164" fontId="0" fillId="2" borderId="12" xfId="0" applyNumberFormat="1" applyFill="1" applyBorder="1"/>
    <xf numFmtId="43" fontId="0" fillId="2" borderId="34" xfId="3" applyFont="1" applyFill="1" applyBorder="1"/>
    <xf numFmtId="165" fontId="1" fillId="2" borderId="37" xfId="0" applyNumberFormat="1" applyFont="1" applyFill="1" applyBorder="1"/>
    <xf numFmtId="0" fontId="1" fillId="2" borderId="25" xfId="0" applyFont="1" applyFill="1" applyBorder="1" applyAlignment="1">
      <alignment horizontal="center"/>
    </xf>
    <xf numFmtId="0" fontId="1" fillId="2" borderId="26" xfId="0" applyFont="1" applyFill="1" applyBorder="1"/>
    <xf numFmtId="0" fontId="1" fillId="2" borderId="27" xfId="0" applyFont="1" applyFill="1" applyBorder="1"/>
    <xf numFmtId="172" fontId="1" fillId="2" borderId="28" xfId="3" applyNumberFormat="1" applyFont="1" applyFill="1" applyBorder="1"/>
    <xf numFmtId="43" fontId="1" fillId="2" borderId="28" xfId="3" applyFont="1" applyFill="1" applyBorder="1"/>
    <xf numFmtId="0" fontId="1" fillId="0" borderId="0" xfId="0" applyFont="1" applyAlignment="1">
      <alignment horizontal="center"/>
    </xf>
    <xf numFmtId="43" fontId="0" fillId="0" borderId="0" xfId="0" applyNumberFormat="1"/>
    <xf numFmtId="43" fontId="1" fillId="2" borderId="27" xfId="0" applyNumberFormat="1" applyFont="1" applyFill="1" applyBorder="1"/>
    <xf numFmtId="43" fontId="4" fillId="0" borderId="0" xfId="0" applyNumberFormat="1" applyFont="1"/>
    <xf numFmtId="43" fontId="0" fillId="0" borderId="0" xfId="1" applyFont="1"/>
    <xf numFmtId="173" fontId="0" fillId="0" borderId="0" xfId="1" applyNumberFormat="1" applyFont="1"/>
    <xf numFmtId="165" fontId="4" fillId="3" borderId="0" xfId="1" applyNumberFormat="1" applyFont="1" applyFill="1" applyBorder="1"/>
    <xf numFmtId="0" fontId="0" fillId="0" borderId="0" xfId="0" quotePrefix="1"/>
    <xf numFmtId="165" fontId="0" fillId="0" borderId="1" xfId="1" applyNumberFormat="1" applyFont="1" applyBorder="1"/>
    <xf numFmtId="165" fontId="0" fillId="0" borderId="2" xfId="1" applyNumberFormat="1" applyFont="1" applyBorder="1"/>
    <xf numFmtId="15" fontId="1" fillId="0" borderId="0" xfId="0" quotePrefix="1" applyNumberFormat="1" applyFont="1" applyAlignment="1">
      <alignment horizontal="left"/>
    </xf>
    <xf numFmtId="0" fontId="1" fillId="0" borderId="0" xfId="0" quotePrefix="1" applyFont="1"/>
    <xf numFmtId="9" fontId="0" fillId="0" borderId="1" xfId="4" applyFont="1" applyBorder="1"/>
    <xf numFmtId="0" fontId="1" fillId="0" borderId="1" xfId="0" applyFont="1" applyBorder="1"/>
    <xf numFmtId="165" fontId="1" fillId="0" borderId="1" xfId="1" applyNumberFormat="1" applyFont="1" applyBorder="1"/>
    <xf numFmtId="43" fontId="1" fillId="0" borderId="1" xfId="1" applyFont="1" applyBorder="1"/>
    <xf numFmtId="0" fontId="1" fillId="0" borderId="2" xfId="0" applyFont="1" applyBorder="1"/>
    <xf numFmtId="165" fontId="1" fillId="0" borderId="2" xfId="1" applyNumberFormat="1" applyFont="1" applyBorder="1"/>
    <xf numFmtId="43" fontId="1" fillId="0" borderId="2" xfId="1" applyFont="1" applyBorder="1"/>
    <xf numFmtId="0" fontId="1" fillId="0" borderId="0" xfId="0" applyFont="1" applyAlignment="1">
      <alignment vertical="top"/>
    </xf>
    <xf numFmtId="165" fontId="0" fillId="0" borderId="0" xfId="1" applyNumberFormat="1" applyFont="1" applyBorder="1"/>
    <xf numFmtId="0" fontId="1" fillId="4" borderId="0" xfId="0" applyFont="1" applyFill="1"/>
    <xf numFmtId="0" fontId="4" fillId="4" borderId="0" xfId="0" applyFont="1" applyFill="1"/>
    <xf numFmtId="0" fontId="0" fillId="4" borderId="0" xfId="0" applyFill="1"/>
    <xf numFmtId="0" fontId="14" fillId="4" borderId="0" xfId="0" applyFont="1" applyFill="1" applyAlignment="1">
      <alignment horizontal="left" vertical="top"/>
    </xf>
    <xf numFmtId="0" fontId="7" fillId="4" borderId="0" xfId="0" applyFont="1" applyFill="1"/>
    <xf numFmtId="44" fontId="0" fillId="0" borderId="0" xfId="2" applyFont="1" applyBorder="1"/>
    <xf numFmtId="174" fontId="0" fillId="2" borderId="7" xfId="0" applyNumberFormat="1" applyFill="1" applyBorder="1" applyAlignment="1">
      <alignment horizontal="center"/>
    </xf>
    <xf numFmtId="174" fontId="0" fillId="2" borderId="8" xfId="0" applyNumberFormat="1" applyFill="1" applyBorder="1" applyAlignment="1">
      <alignment horizontal="center"/>
    </xf>
    <xf numFmtId="174" fontId="1" fillId="2" borderId="9" xfId="0" applyNumberFormat="1" applyFont="1" applyFill="1" applyBorder="1" applyAlignment="1">
      <alignment horizontal="center"/>
    </xf>
    <xf numFmtId="174" fontId="0" fillId="2" borderId="0" xfId="2" applyNumberFormat="1" applyFont="1" applyFill="1" applyBorder="1"/>
    <xf numFmtId="174" fontId="0" fillId="2" borderId="7" xfId="2" applyNumberFormat="1" applyFont="1" applyFill="1" applyBorder="1"/>
    <xf numFmtId="174" fontId="0" fillId="2" borderId="0" xfId="2" applyNumberFormat="1" applyFont="1" applyFill="1" applyBorder="1" applyAlignment="1">
      <alignment vertical="center"/>
    </xf>
    <xf numFmtId="174" fontId="0" fillId="2" borderId="7" xfId="2" applyNumberFormat="1" applyFont="1" applyFill="1" applyBorder="1" applyAlignment="1">
      <alignment vertical="center"/>
    </xf>
    <xf numFmtId="168" fontId="0" fillId="2" borderId="18" xfId="2" applyNumberFormat="1" applyFont="1" applyFill="1" applyBorder="1" applyAlignment="1">
      <alignment horizontal="right"/>
    </xf>
    <xf numFmtId="174" fontId="0" fillId="2" borderId="9" xfId="0" applyNumberFormat="1" applyFill="1" applyBorder="1" applyAlignment="1">
      <alignment horizontal="center"/>
    </xf>
    <xf numFmtId="174" fontId="0" fillId="2" borderId="5" xfId="0" applyNumberFormat="1" applyFill="1" applyBorder="1" applyAlignment="1">
      <alignment horizontal="center"/>
    </xf>
    <xf numFmtId="174" fontId="1" fillId="2" borderId="8" xfId="0" applyNumberFormat="1" applyFont="1" applyFill="1" applyBorder="1" applyAlignment="1">
      <alignment horizontal="center"/>
    </xf>
    <xf numFmtId="165" fontId="0" fillId="2" borderId="0" xfId="1" applyNumberFormat="1" applyFont="1" applyFill="1"/>
    <xf numFmtId="164" fontId="0" fillId="0" borderId="0" xfId="0" applyNumberFormat="1"/>
    <xf numFmtId="166" fontId="13" fillId="2" borderId="0" xfId="0" applyNumberFormat="1" applyFont="1" applyFill="1" applyAlignment="1">
      <alignment horizontal="left"/>
    </xf>
    <xf numFmtId="3" fontId="0" fillId="2" borderId="0" xfId="0" applyNumberFormat="1" applyFill="1" applyAlignment="1">
      <alignment horizontal="center" vertical="center"/>
    </xf>
    <xf numFmtId="0" fontId="16" fillId="2" borderId="0" xfId="0" applyFont="1" applyFill="1"/>
    <xf numFmtId="37" fontId="0" fillId="2" borderId="0" xfId="0" applyNumberFormat="1" applyFill="1" applyAlignment="1">
      <alignment vertical="center"/>
    </xf>
    <xf numFmtId="1" fontId="0" fillId="0" borderId="0" xfId="0" applyNumberFormat="1"/>
    <xf numFmtId="3" fontId="0" fillId="2" borderId="14" xfId="0" applyNumberFormat="1" applyFill="1" applyBorder="1"/>
    <xf numFmtId="165" fontId="1" fillId="2" borderId="0" xfId="1" applyNumberFormat="1" applyFont="1" applyFill="1"/>
    <xf numFmtId="165" fontId="1" fillId="2" borderId="7" xfId="1" applyNumberFormat="1" applyFont="1" applyFill="1" applyBorder="1"/>
    <xf numFmtId="0" fontId="1" fillId="4" borderId="0" xfId="0" applyFont="1" applyFill="1" applyAlignment="1">
      <alignment horizontal="center" vertical="top"/>
    </xf>
    <xf numFmtId="0" fontId="1" fillId="4" borderId="0" xfId="0" applyFont="1" applyFill="1" applyAlignment="1">
      <alignment vertical="top"/>
    </xf>
    <xf numFmtId="0" fontId="17" fillId="2" borderId="0" xfId="0" applyFont="1" applyFill="1"/>
    <xf numFmtId="0" fontId="4" fillId="0" borderId="2" xfId="0" applyFont="1" applyBorder="1"/>
    <xf numFmtId="165" fontId="4" fillId="0" borderId="2" xfId="1" applyNumberFormat="1" applyFont="1" applyBorder="1"/>
    <xf numFmtId="43" fontId="4" fillId="0" borderId="9" xfId="1" applyFont="1" applyBorder="1"/>
    <xf numFmtId="0" fontId="0" fillId="0" borderId="6" xfId="0" applyBorder="1" applyAlignment="1">
      <alignment horizontal="left" indent="1"/>
    </xf>
    <xf numFmtId="43" fontId="0" fillId="0" borderId="7" xfId="1" applyFont="1" applyBorder="1"/>
    <xf numFmtId="0" fontId="0" fillId="0" borderId="15" xfId="0" applyBorder="1"/>
    <xf numFmtId="43" fontId="0" fillId="0" borderId="9" xfId="1" applyFont="1" applyBorder="1"/>
    <xf numFmtId="0" fontId="1" fillId="0" borderId="15" xfId="0" applyFont="1" applyBorder="1"/>
    <xf numFmtId="43" fontId="1" fillId="0" borderId="9" xfId="1" applyFont="1" applyBorder="1"/>
    <xf numFmtId="175" fontId="0" fillId="0" borderId="0" xfId="0" applyNumberFormat="1"/>
    <xf numFmtId="0" fontId="15" fillId="0" borderId="0" xfId="0" applyFont="1"/>
    <xf numFmtId="0" fontId="4" fillId="0" borderId="0" xfId="0" applyFont="1" applyAlignment="1">
      <alignment horizontal="left" vertical="top"/>
    </xf>
    <xf numFmtId="3" fontId="18" fillId="2" borderId="0" xfId="0" applyNumberFormat="1" applyFont="1" applyFill="1"/>
    <xf numFmtId="0" fontId="19" fillId="2" borderId="0" xfId="0" applyFont="1" applyFill="1"/>
    <xf numFmtId="0" fontId="18" fillId="2" borderId="0" xfId="0" applyFont="1" applyFill="1"/>
    <xf numFmtId="171" fontId="19" fillId="2" borderId="0" xfId="0" applyNumberFormat="1" applyFont="1" applyFill="1"/>
    <xf numFmtId="3" fontId="19" fillId="2" borderId="0" xfId="0" applyNumberFormat="1" applyFont="1" applyFill="1"/>
    <xf numFmtId="17" fontId="19" fillId="2" borderId="0" xfId="0" applyNumberFormat="1" applyFont="1" applyFill="1"/>
    <xf numFmtId="9" fontId="19" fillId="2" borderId="0" xfId="0" applyNumberFormat="1" applyFont="1" applyFill="1"/>
    <xf numFmtId="167" fontId="19" fillId="2" borderId="0" xfId="0" applyNumberFormat="1" applyFont="1" applyFill="1"/>
    <xf numFmtId="2" fontId="19" fillId="2" borderId="0" xfId="0" applyNumberFormat="1" applyFont="1" applyFill="1"/>
    <xf numFmtId="10" fontId="19" fillId="2" borderId="0" xfId="4" applyNumberFormat="1" applyFont="1" applyFill="1"/>
    <xf numFmtId="174" fontId="0" fillId="2" borderId="1" xfId="0" applyNumberFormat="1" applyFill="1" applyBorder="1" applyAlignment="1">
      <alignment horizontal="center"/>
    </xf>
    <xf numFmtId="174" fontId="0" fillId="2" borderId="14" xfId="0" applyNumberFormat="1" applyFill="1" applyBorder="1" applyAlignment="1">
      <alignment horizontal="center"/>
    </xf>
    <xf numFmtId="174" fontId="0" fillId="2" borderId="0" xfId="0" applyNumberFormat="1" applyFill="1" applyAlignment="1">
      <alignment horizontal="center"/>
    </xf>
    <xf numFmtId="174" fontId="1" fillId="2" borderId="14" xfId="0" applyNumberFormat="1" applyFont="1" applyFill="1" applyBorder="1" applyAlignment="1">
      <alignment horizontal="center"/>
    </xf>
    <xf numFmtId="0" fontId="10" fillId="2" borderId="0" xfId="0" applyFont="1" applyFill="1"/>
    <xf numFmtId="166" fontId="10" fillId="2" borderId="0" xfId="0" applyNumberFormat="1" applyFont="1" applyFill="1" applyAlignment="1">
      <alignment horizontal="center"/>
    </xf>
    <xf numFmtId="0" fontId="10" fillId="2" borderId="0" xfId="0" applyFont="1" applyFill="1" applyAlignment="1">
      <alignment horizontal="center"/>
    </xf>
    <xf numFmtId="0" fontId="9" fillId="2" borderId="0" xfId="0" applyFont="1" applyFill="1"/>
    <xf numFmtId="166" fontId="9" fillId="2" borderId="0" xfId="0" applyNumberFormat="1" applyFont="1" applyFill="1" applyAlignment="1">
      <alignment horizontal="center"/>
    </xf>
    <xf numFmtId="0" fontId="18" fillId="2" borderId="0" xfId="0" applyFont="1" applyFill="1" applyAlignment="1">
      <alignment horizontal="right"/>
    </xf>
    <xf numFmtId="0" fontId="0" fillId="2" borderId="0" xfId="0" applyFont="1" applyFill="1"/>
    <xf numFmtId="165" fontId="0" fillId="3" borderId="0" xfId="1" applyNumberFormat="1" applyFont="1" applyFill="1"/>
    <xf numFmtId="0" fontId="0" fillId="0" borderId="0" xfId="0" applyFill="1"/>
    <xf numFmtId="0" fontId="1" fillId="2" borderId="15" xfId="0" applyFont="1" applyFill="1" applyBorder="1" applyAlignment="1">
      <alignment horizontal="center"/>
    </xf>
    <xf numFmtId="0" fontId="1" fillId="2" borderId="2" xfId="0" applyFont="1" applyFill="1" applyBorder="1" applyAlignment="1">
      <alignment horizontal="center"/>
    </xf>
    <xf numFmtId="0" fontId="1" fillId="2" borderId="9" xfId="0" applyFont="1" applyFill="1" applyBorder="1" applyAlignment="1">
      <alignment horizontal="center"/>
    </xf>
    <xf numFmtId="0" fontId="8" fillId="2" borderId="0" xfId="0" applyFont="1" applyFill="1" applyAlignment="1">
      <alignment horizontal="left" vertical="center" wrapText="1"/>
    </xf>
    <xf numFmtId="0" fontId="1" fillId="2" borderId="11" xfId="0" applyFont="1" applyFill="1" applyBorder="1" applyAlignment="1">
      <alignment horizontal="left"/>
    </xf>
    <xf numFmtId="0" fontId="1" fillId="2" borderId="13" xfId="0" applyFont="1" applyFill="1" applyBorder="1" applyAlignment="1">
      <alignment horizontal="left"/>
    </xf>
    <xf numFmtId="15" fontId="1" fillId="2" borderId="15" xfId="0" quotePrefix="1" applyNumberFormat="1" applyFont="1" applyFill="1" applyBorder="1" applyAlignment="1">
      <alignment horizontal="center"/>
    </xf>
    <xf numFmtId="15" fontId="1" fillId="2" borderId="9" xfId="0" quotePrefix="1" applyNumberFormat="1" applyFont="1" applyFill="1" applyBorder="1" applyAlignment="1">
      <alignment horizontal="center"/>
    </xf>
    <xf numFmtId="0" fontId="5" fillId="2" borderId="3" xfId="0" applyFont="1" applyFill="1" applyBorder="1" applyAlignment="1">
      <alignment horizontal="center"/>
    </xf>
    <xf numFmtId="0" fontId="5" fillId="2" borderId="5" xfId="0" applyFont="1" applyFill="1" applyBorder="1" applyAlignment="1">
      <alignment horizontal="center"/>
    </xf>
    <xf numFmtId="0" fontId="0" fillId="2" borderId="0" xfId="0" applyFill="1" applyAlignment="1">
      <alignment horizontal="center"/>
    </xf>
    <xf numFmtId="169" fontId="1" fillId="0" borderId="0" xfId="0" applyNumberFormat="1" applyFont="1" applyAlignment="1">
      <alignment horizontal="center"/>
    </xf>
    <xf numFmtId="37" fontId="0" fillId="2" borderId="0" xfId="0" applyNumberFormat="1" applyFill="1" applyAlignment="1">
      <alignment horizontal="center"/>
    </xf>
    <xf numFmtId="0" fontId="7" fillId="2" borderId="4" xfId="0" applyFont="1" applyFill="1" applyBorder="1" applyAlignment="1">
      <alignment horizontal="left"/>
    </xf>
    <xf numFmtId="0" fontId="7" fillId="2" borderId="5" xfId="0" applyFont="1" applyFill="1" applyBorder="1" applyAlignment="1">
      <alignment horizontal="left"/>
    </xf>
    <xf numFmtId="0" fontId="7" fillId="2" borderId="10" xfId="0" applyFont="1" applyFill="1" applyBorder="1" applyAlignment="1">
      <alignment horizontal="left"/>
    </xf>
    <xf numFmtId="0" fontId="7" fillId="2" borderId="8" xfId="0" applyFont="1" applyFill="1" applyBorder="1" applyAlignment="1">
      <alignment horizontal="left"/>
    </xf>
    <xf numFmtId="15" fontId="1" fillId="2" borderId="4" xfId="0" quotePrefix="1" applyNumberFormat="1" applyFont="1" applyFill="1" applyBorder="1" applyAlignment="1">
      <alignment horizontal="center" wrapText="1"/>
    </xf>
    <xf numFmtId="15" fontId="1" fillId="2" borderId="5" xfId="0" quotePrefix="1" applyNumberFormat="1" applyFont="1" applyFill="1" applyBorder="1" applyAlignment="1">
      <alignment horizontal="center" wrapText="1"/>
    </xf>
    <xf numFmtId="15" fontId="1" fillId="2" borderId="3" xfId="0" quotePrefix="1" applyNumberFormat="1" applyFont="1" applyFill="1" applyBorder="1" applyAlignment="1">
      <alignment horizontal="center" wrapText="1"/>
    </xf>
    <xf numFmtId="0" fontId="1" fillId="2" borderId="4" xfId="0" applyFont="1" applyFill="1" applyBorder="1" applyAlignment="1">
      <alignment horizontal="center"/>
    </xf>
    <xf numFmtId="0" fontId="1" fillId="2" borderId="3" xfId="0" applyFont="1" applyFill="1" applyBorder="1" applyAlignment="1">
      <alignment horizontal="center"/>
    </xf>
    <xf numFmtId="0" fontId="1" fillId="2" borderId="5" xfId="0" applyFont="1" applyFill="1" applyBorder="1" applyAlignment="1">
      <alignment horizontal="center"/>
    </xf>
    <xf numFmtId="0" fontId="4" fillId="2" borderId="4" xfId="0" applyFont="1" applyFill="1" applyBorder="1" applyAlignment="1">
      <alignment horizontal="center"/>
    </xf>
    <xf numFmtId="0" fontId="4" fillId="2" borderId="3" xfId="0" applyFont="1" applyFill="1" applyBorder="1" applyAlignment="1">
      <alignment horizontal="center"/>
    </xf>
    <xf numFmtId="0" fontId="4" fillId="2" borderId="5" xfId="0" applyFont="1" applyFill="1" applyBorder="1" applyAlignment="1">
      <alignment horizontal="center"/>
    </xf>
    <xf numFmtId="0" fontId="1" fillId="2" borderId="6" xfId="0" applyFont="1" applyFill="1" applyBorder="1" applyAlignment="1">
      <alignment horizontal="center"/>
    </xf>
    <xf numFmtId="0" fontId="1" fillId="2" borderId="0" xfId="0" applyFont="1" applyFill="1" applyAlignment="1">
      <alignment horizontal="center"/>
    </xf>
    <xf numFmtId="0" fontId="1" fillId="2" borderId="7" xfId="0" applyFont="1" applyFill="1" applyBorder="1" applyAlignment="1">
      <alignment horizontal="center"/>
    </xf>
    <xf numFmtId="0" fontId="1" fillId="2" borderId="10" xfId="0" applyFont="1" applyFill="1" applyBorder="1" applyAlignment="1">
      <alignment horizontal="center"/>
    </xf>
    <xf numFmtId="0" fontId="1" fillId="2" borderId="1" xfId="0" applyFont="1" applyFill="1" applyBorder="1" applyAlignment="1">
      <alignment horizontal="center"/>
    </xf>
    <xf numFmtId="0" fontId="1" fillId="2" borderId="8" xfId="0" applyFont="1" applyFill="1" applyBorder="1" applyAlignment="1">
      <alignment horizontal="center"/>
    </xf>
    <xf numFmtId="169" fontId="1" fillId="2" borderId="0" xfId="0" applyNumberFormat="1" applyFont="1" applyFill="1" applyAlignment="1">
      <alignment horizontal="center"/>
    </xf>
    <xf numFmtId="0" fontId="1" fillId="2" borderId="1" xfId="0" applyFont="1" applyFill="1" applyBorder="1" applyAlignment="1">
      <alignment horizontal="center" wrapText="1"/>
    </xf>
    <xf numFmtId="0" fontId="1" fillId="4" borderId="0" xfId="0" applyFont="1" applyFill="1" applyAlignment="1">
      <alignment horizontal="left" vertical="top" wrapText="1"/>
    </xf>
    <xf numFmtId="0" fontId="12" fillId="2" borderId="0" xfId="0" applyFont="1" applyFill="1" applyAlignment="1">
      <alignment horizontal="center"/>
    </xf>
    <xf numFmtId="0" fontId="0" fillId="2" borderId="0" xfId="0" applyFill="1" applyAlignment="1">
      <alignment horizontal="left" vertical="top" wrapText="1"/>
    </xf>
    <xf numFmtId="0" fontId="11" fillId="2" borderId="0" xfId="0" applyFont="1" applyFill="1" applyAlignment="1">
      <alignment horizontal="left" vertical="top" wrapText="1"/>
    </xf>
    <xf numFmtId="0" fontId="4" fillId="2" borderId="4" xfId="0" applyFont="1" applyFill="1" applyBorder="1" applyAlignment="1">
      <alignment horizontal="center" wrapText="1"/>
    </xf>
    <xf numFmtId="0" fontId="4" fillId="2" borderId="3" xfId="0" applyFont="1" applyFill="1" applyBorder="1" applyAlignment="1">
      <alignment horizontal="center" wrapText="1"/>
    </xf>
    <xf numFmtId="0" fontId="4" fillId="2" borderId="5" xfId="0" applyFont="1" applyFill="1" applyBorder="1" applyAlignment="1">
      <alignment horizontal="center" wrapText="1"/>
    </xf>
    <xf numFmtId="0" fontId="1" fillId="2" borderId="21" xfId="0" applyFont="1" applyFill="1" applyBorder="1" applyAlignment="1">
      <alignment horizontal="center"/>
    </xf>
    <xf numFmtId="0" fontId="1" fillId="2" borderId="25" xfId="0" applyFont="1" applyFill="1" applyBorder="1" applyAlignment="1">
      <alignment horizontal="center"/>
    </xf>
    <xf numFmtId="0" fontId="1" fillId="2" borderId="22" xfId="0" applyFont="1" applyFill="1" applyBorder="1" applyAlignment="1">
      <alignment horizontal="center" wrapText="1"/>
    </xf>
    <xf numFmtId="0" fontId="1" fillId="2" borderId="23" xfId="0" applyFont="1" applyFill="1" applyBorder="1" applyAlignment="1">
      <alignment horizontal="center" wrapText="1"/>
    </xf>
    <xf numFmtId="0" fontId="1" fillId="2" borderId="24" xfId="0" applyFont="1" applyFill="1" applyBorder="1" applyAlignment="1">
      <alignment horizontal="center" wrapText="1"/>
    </xf>
    <xf numFmtId="0" fontId="1" fillId="2" borderId="22" xfId="0" applyFont="1" applyFill="1" applyBorder="1" applyAlignment="1">
      <alignment horizontal="center"/>
    </xf>
    <xf numFmtId="0" fontId="1" fillId="2" borderId="23" xfId="0" applyFont="1" applyFill="1" applyBorder="1" applyAlignment="1">
      <alignment horizontal="center"/>
    </xf>
    <xf numFmtId="0" fontId="1" fillId="2" borderId="24" xfId="0" applyFont="1" applyFill="1" applyBorder="1" applyAlignment="1">
      <alignment horizontal="center"/>
    </xf>
    <xf numFmtId="0" fontId="0" fillId="0" borderId="0" xfId="0" applyAlignment="1">
      <alignment horizontal="left" vertical="top" wrapText="1"/>
    </xf>
    <xf numFmtId="0" fontId="1" fillId="2" borderId="11" xfId="0" applyFont="1" applyFill="1" applyBorder="1" applyAlignment="1">
      <alignment horizontal="center"/>
    </xf>
  </cellXfs>
  <cellStyles count="5">
    <cellStyle name="Comma" xfId="1" builtinId="3"/>
    <cellStyle name="Comma 2" xfId="3" xr:uid="{96DDEF59-7D93-4FD0-9B97-D05CEA88FC01}"/>
    <cellStyle name="Currency" xfId="2" builtinId="4"/>
    <cellStyle name="Normal" xfId="0" builtinId="0"/>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F21C4-76EE-479E-935D-D5FB8D5049D6}">
  <dimension ref="A1:D20"/>
  <sheetViews>
    <sheetView workbookViewId="0">
      <selection activeCell="B21" sqref="B21"/>
    </sheetView>
  </sheetViews>
  <sheetFormatPr defaultRowHeight="15.6" customHeight="1" x14ac:dyDescent="0.3"/>
  <cols>
    <col min="1" max="1" width="41" customWidth="1"/>
    <col min="2" max="3" width="12.6640625" style="3" customWidth="1"/>
    <col min="4" max="4" width="10.109375" bestFit="1" customWidth="1"/>
  </cols>
  <sheetData>
    <row r="1" spans="1:4" ht="15.6" customHeight="1" x14ac:dyDescent="0.3">
      <c r="A1" s="294" t="s">
        <v>205</v>
      </c>
      <c r="B1" s="295"/>
      <c r="C1" s="296"/>
    </row>
    <row r="2" spans="1:4" ht="15.6" customHeight="1" x14ac:dyDescent="0.3">
      <c r="A2" s="22" t="s">
        <v>206</v>
      </c>
      <c r="B2" s="9" t="s">
        <v>14</v>
      </c>
      <c r="C2" s="21" t="s">
        <v>15</v>
      </c>
    </row>
    <row r="3" spans="1:4" ht="15.6" customHeight="1" x14ac:dyDescent="0.3">
      <c r="A3" s="4" t="s">
        <v>2</v>
      </c>
      <c r="B3" s="24">
        <v>387216</v>
      </c>
      <c r="C3" s="25"/>
    </row>
    <row r="4" spans="1:4" ht="15.6" customHeight="1" x14ac:dyDescent="0.3">
      <c r="A4" s="4" t="s">
        <v>39</v>
      </c>
      <c r="B4" s="24">
        <v>37100</v>
      </c>
      <c r="C4" s="25"/>
      <c r="D4" s="140"/>
    </row>
    <row r="5" spans="1:4" ht="15.6" customHeight="1" x14ac:dyDescent="0.3">
      <c r="A5" s="4" t="s">
        <v>19</v>
      </c>
      <c r="B5" s="24">
        <f>2200*9</f>
        <v>19800</v>
      </c>
      <c r="C5" s="25"/>
    </row>
    <row r="6" spans="1:4" ht="15.6" customHeight="1" x14ac:dyDescent="0.3">
      <c r="A6" s="4" t="s">
        <v>4</v>
      </c>
      <c r="B6" s="24">
        <v>84000</v>
      </c>
      <c r="C6" s="25"/>
    </row>
    <row r="7" spans="1:4" ht="15.6" customHeight="1" x14ac:dyDescent="0.3">
      <c r="A7" s="4" t="s">
        <v>8</v>
      </c>
      <c r="B7" s="24"/>
      <c r="C7" s="25">
        <v>23400</v>
      </c>
    </row>
    <row r="8" spans="1:4" ht="15.6" customHeight="1" x14ac:dyDescent="0.3">
      <c r="A8" s="4" t="s">
        <v>44</v>
      </c>
      <c r="B8" s="24"/>
      <c r="C8" s="25">
        <v>14500</v>
      </c>
    </row>
    <row r="9" spans="1:4" ht="15.6" customHeight="1" x14ac:dyDescent="0.3">
      <c r="A9" s="4" t="s">
        <v>6</v>
      </c>
      <c r="B9" s="24"/>
      <c r="C9" s="25">
        <v>50000</v>
      </c>
    </row>
    <row r="10" spans="1:4" ht="15.6" customHeight="1" x14ac:dyDescent="0.3">
      <c r="A10" s="4" t="s">
        <v>196</v>
      </c>
      <c r="B10" s="24"/>
      <c r="C10" s="25">
        <v>200000</v>
      </c>
    </row>
    <row r="11" spans="1:4" ht="15.6" customHeight="1" x14ac:dyDescent="0.3">
      <c r="A11" s="4" t="s">
        <v>203</v>
      </c>
      <c r="B11" s="24"/>
      <c r="C11" s="25">
        <v>200000</v>
      </c>
    </row>
    <row r="12" spans="1:4" ht="15.6" customHeight="1" x14ac:dyDescent="0.3">
      <c r="A12" s="4" t="s">
        <v>208</v>
      </c>
      <c r="B12" s="24"/>
      <c r="C12" s="25">
        <v>5230</v>
      </c>
    </row>
    <row r="13" spans="1:4" ht="15.6" customHeight="1" x14ac:dyDescent="0.3">
      <c r="A13" s="4" t="s">
        <v>51</v>
      </c>
      <c r="B13" s="24"/>
      <c r="C13" s="25">
        <v>212300</v>
      </c>
      <c r="D13" s="247"/>
    </row>
    <row r="14" spans="1:4" ht="15.6" customHeight="1" x14ac:dyDescent="0.3">
      <c r="A14" s="4" t="s">
        <v>5</v>
      </c>
      <c r="B14" s="24">
        <f>C13*0.38</f>
        <v>80674</v>
      </c>
      <c r="C14" s="25"/>
    </row>
    <row r="15" spans="1:4" ht="15.6" customHeight="1" x14ac:dyDescent="0.3">
      <c r="A15" s="4" t="s">
        <v>17</v>
      </c>
      <c r="B15" s="25">
        <f>2200*3</f>
        <v>6600</v>
      </c>
      <c r="C15" s="25"/>
    </row>
    <row r="16" spans="1:4" ht="15.6" customHeight="1" x14ac:dyDescent="0.3">
      <c r="A16" s="4" t="s">
        <v>32</v>
      </c>
      <c r="B16" s="25">
        <v>13000</v>
      </c>
      <c r="C16" s="25"/>
    </row>
    <row r="17" spans="1:4" ht="15.6" customHeight="1" x14ac:dyDescent="0.3">
      <c r="A17" s="4" t="s">
        <v>18</v>
      </c>
      <c r="B17" s="25">
        <f>7700*9</f>
        <v>69300</v>
      </c>
      <c r="C17" s="25"/>
    </row>
    <row r="18" spans="1:4" ht="15.6" customHeight="1" x14ac:dyDescent="0.3">
      <c r="A18" s="4" t="s">
        <v>33</v>
      </c>
      <c r="B18" s="24">
        <f>860*9</f>
        <v>7740</v>
      </c>
      <c r="C18" s="25"/>
    </row>
    <row r="19" spans="1:4" ht="15.6" customHeight="1" x14ac:dyDescent="0.3">
      <c r="A19" s="23"/>
      <c r="B19" s="26">
        <f>SUM(B3:B18)</f>
        <v>705430</v>
      </c>
      <c r="C19" s="27">
        <f>SUM(C3:C18)</f>
        <v>705430</v>
      </c>
      <c r="D19" s="140">
        <f>B19-C19</f>
        <v>0</v>
      </c>
    </row>
    <row r="20" spans="1:4" ht="15.6" customHeight="1" x14ac:dyDescent="0.3">
      <c r="A20" t="s">
        <v>117</v>
      </c>
      <c r="B20" s="139">
        <f>C13-SUM(B14:B18)</f>
        <v>34986</v>
      </c>
    </row>
  </sheetData>
  <mergeCells count="1">
    <mergeCell ref="A1:C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54637-4C65-4024-8200-7F62F4B7791E}">
  <dimension ref="A1:AD44"/>
  <sheetViews>
    <sheetView topLeftCell="N1" zoomScale="80" zoomScaleNormal="80" workbookViewId="0">
      <selection activeCell="W17" sqref="W17:AC27"/>
    </sheetView>
  </sheetViews>
  <sheetFormatPr defaultColWidth="8.88671875" defaultRowHeight="14.4" x14ac:dyDescent="0.3"/>
  <cols>
    <col min="1" max="1" width="21.6640625" style="1" customWidth="1"/>
    <col min="2" max="2" width="17.44140625" style="31" customWidth="1"/>
    <col min="3" max="3" width="2.33203125" style="31" customWidth="1"/>
    <col min="4" max="4" width="17.44140625" style="31" customWidth="1"/>
    <col min="5" max="5" width="2.33203125" style="31" customWidth="1"/>
    <col min="6" max="6" width="17.44140625" style="31" customWidth="1"/>
    <col min="7" max="7" width="11.77734375" style="1" bestFit="1" customWidth="1"/>
    <col min="8" max="8" width="5.109375" style="1" customWidth="1"/>
    <col min="9" max="9" width="5.77734375" style="1" customWidth="1"/>
    <col min="10" max="10" width="26.21875" style="31" customWidth="1"/>
    <col min="11" max="11" width="15" style="31" customWidth="1"/>
    <col min="12" max="12" width="16.5546875" style="1" customWidth="1"/>
    <col min="13" max="13" width="5.6640625" style="1" customWidth="1"/>
    <col min="14" max="14" width="41.77734375" style="58" customWidth="1"/>
    <col min="15" max="16" width="11" style="1" customWidth="1"/>
    <col min="17" max="17" width="6.33203125" style="1" customWidth="1"/>
    <col min="18" max="21" width="11" style="1" customWidth="1"/>
    <col min="22" max="22" width="6.21875" style="58" customWidth="1"/>
    <col min="23" max="23" width="19.6640625" style="1" customWidth="1"/>
    <col min="24" max="24" width="13" style="1" customWidth="1"/>
    <col min="25" max="16384" width="8.88671875" style="1"/>
  </cols>
  <sheetData>
    <row r="1" spans="1:24" ht="18" x14ac:dyDescent="0.35">
      <c r="A1" s="67" t="s">
        <v>40</v>
      </c>
      <c r="H1" s="67"/>
      <c r="I1" s="67"/>
      <c r="N1" s="67"/>
    </row>
    <row r="2" spans="1:24" x14ac:dyDescent="0.3">
      <c r="A2" s="6" t="s">
        <v>26</v>
      </c>
      <c r="B2" s="69"/>
      <c r="C2" s="69"/>
      <c r="D2" s="69"/>
      <c r="E2" s="69"/>
      <c r="F2" s="69"/>
      <c r="H2" s="6" t="s">
        <v>27</v>
      </c>
      <c r="I2" s="6"/>
      <c r="J2" s="69"/>
      <c r="K2" s="69"/>
      <c r="L2" s="7"/>
      <c r="N2" s="6" t="s">
        <v>119</v>
      </c>
      <c r="W2" s="6" t="s">
        <v>28</v>
      </c>
      <c r="X2" s="6"/>
    </row>
    <row r="3" spans="1:24" ht="14.55" customHeight="1" x14ac:dyDescent="0.3">
      <c r="A3" s="29" t="s">
        <v>38</v>
      </c>
      <c r="B3" s="12"/>
      <c r="C3" s="12"/>
      <c r="D3" s="12"/>
      <c r="E3" s="12"/>
      <c r="F3" s="78"/>
      <c r="H3" s="29" t="s">
        <v>16</v>
      </c>
      <c r="I3" s="30"/>
      <c r="J3" s="12"/>
      <c r="K3" s="10" t="s">
        <v>14</v>
      </c>
      <c r="L3" s="11" t="s">
        <v>15</v>
      </c>
      <c r="M3" s="34"/>
      <c r="N3" s="297" t="s">
        <v>120</v>
      </c>
      <c r="O3" s="297"/>
      <c r="P3" s="297"/>
      <c r="Q3" s="297"/>
      <c r="R3" s="297"/>
      <c r="S3" s="297"/>
      <c r="T3" s="297"/>
      <c r="U3" s="297"/>
      <c r="V3" s="70"/>
      <c r="W3" s="66" t="s">
        <v>12</v>
      </c>
      <c r="X3" s="74">
        <f>D22</f>
        <v>116350</v>
      </c>
    </row>
    <row r="4" spans="1:24" x14ac:dyDescent="0.3">
      <c r="A4" s="8"/>
      <c r="B4" s="9" t="s">
        <v>9</v>
      </c>
      <c r="C4" s="10" t="s">
        <v>36</v>
      </c>
      <c r="D4" s="10" t="s">
        <v>11</v>
      </c>
      <c r="E4" s="10" t="s">
        <v>37</v>
      </c>
      <c r="F4" s="11" t="s">
        <v>13</v>
      </c>
      <c r="H4" s="4"/>
      <c r="L4" s="32"/>
      <c r="M4" s="32"/>
      <c r="N4" s="298" t="s">
        <v>124</v>
      </c>
      <c r="O4" s="300" t="s">
        <v>210</v>
      </c>
      <c r="P4" s="301"/>
      <c r="Q4" s="302" t="s">
        <v>212</v>
      </c>
      <c r="R4" s="302"/>
      <c r="S4" s="303"/>
      <c r="T4" s="300" t="s">
        <v>211</v>
      </c>
      <c r="U4" s="301"/>
      <c r="W4" s="66" t="s">
        <v>10</v>
      </c>
      <c r="X4" s="74">
        <f>B22</f>
        <v>831396</v>
      </c>
    </row>
    <row r="5" spans="1:24" x14ac:dyDescent="0.3">
      <c r="A5" s="16" t="s">
        <v>214</v>
      </c>
      <c r="B5" s="17">
        <f>SUM('TB @ 30 Sept 2025'!B3:B6)</f>
        <v>528116</v>
      </c>
      <c r="C5" s="10" t="str">
        <f>C4</f>
        <v>=</v>
      </c>
      <c r="D5" s="18">
        <f>SUM('TB @ 30 Sept 2025'!C7:C9)</f>
        <v>87900</v>
      </c>
      <c r="E5" s="10" t="str">
        <f>E4</f>
        <v>+</v>
      </c>
      <c r="F5" s="19">
        <f>SUM('TB @ 30 Sept 2025'!C10:C18)-SUM('TB @ 30 Sept 2025'!B10:B18)</f>
        <v>440216</v>
      </c>
      <c r="G5" s="71">
        <f>B5-D5-F5</f>
        <v>0</v>
      </c>
      <c r="H5" s="33" t="s">
        <v>20</v>
      </c>
      <c r="I5" s="28" t="str">
        <f>'TB @ 30 Sept 2025'!A3</f>
        <v>Cash</v>
      </c>
      <c r="J5" s="34"/>
      <c r="K5" s="35">
        <v>250000</v>
      </c>
      <c r="L5" s="36"/>
      <c r="M5" s="36"/>
      <c r="N5" s="299"/>
      <c r="O5" s="82" t="s">
        <v>14</v>
      </c>
      <c r="P5" s="81" t="s">
        <v>15</v>
      </c>
      <c r="Q5" s="44" t="s">
        <v>47</v>
      </c>
      <c r="R5" s="44" t="s">
        <v>14</v>
      </c>
      <c r="S5" s="45" t="s">
        <v>15</v>
      </c>
      <c r="T5" s="80" t="s">
        <v>14</v>
      </c>
      <c r="U5" s="81" t="s">
        <v>15</v>
      </c>
      <c r="W5" s="23" t="s">
        <v>31</v>
      </c>
      <c r="X5" s="75">
        <f>X3/X4</f>
        <v>0.13994534493791166</v>
      </c>
    </row>
    <row r="6" spans="1:24" x14ac:dyDescent="0.3">
      <c r="A6" s="142" t="str">
        <f>H5</f>
        <v>(a)</v>
      </c>
      <c r="B6" s="13">
        <f>K5</f>
        <v>250000</v>
      </c>
      <c r="C6" s="12" t="str">
        <f t="shared" ref="C6:C21" si="0">C5</f>
        <v>=</v>
      </c>
      <c r="D6" s="14"/>
      <c r="E6" s="12" t="str">
        <f t="shared" ref="E6:E19" si="1">E5</f>
        <v>+</v>
      </c>
      <c r="F6" s="15">
        <f>L6</f>
        <v>250000</v>
      </c>
      <c r="G6" s="71"/>
      <c r="H6" s="37"/>
      <c r="I6" s="28"/>
      <c r="J6" s="28" t="str">
        <f>'TB @ 30 Sept 2025'!A10</f>
        <v>Share Capital - Ordinary Shares</v>
      </c>
      <c r="K6" s="28"/>
      <c r="L6" s="38">
        <f>K5</f>
        <v>250000</v>
      </c>
      <c r="M6" s="35"/>
      <c r="N6" s="37" t="str">
        <f>'TB @ 30 Sept 2025'!A3</f>
        <v>Cash</v>
      </c>
      <c r="O6" s="46">
        <f>'TB @ 30 Sept 2025'!B3</f>
        <v>387216</v>
      </c>
      <c r="P6" s="47"/>
      <c r="Q6" s="48" t="str">
        <f>H5</f>
        <v>(a)</v>
      </c>
      <c r="R6" s="49">
        <f>K5</f>
        <v>250000</v>
      </c>
      <c r="S6" s="50"/>
      <c r="T6" s="35">
        <f>O6+SUM(R6:R15)-SUM(S6:S15)</f>
        <v>359516</v>
      </c>
      <c r="U6" s="36"/>
      <c r="V6" s="49"/>
      <c r="X6" s="31"/>
    </row>
    <row r="7" spans="1:24" x14ac:dyDescent="0.3">
      <c r="A7" s="142" t="str">
        <f>H8</f>
        <v>(b)</v>
      </c>
      <c r="B7" s="13">
        <f>K8</f>
        <v>30000</v>
      </c>
      <c r="C7" s="12" t="str">
        <f t="shared" si="0"/>
        <v>=</v>
      </c>
      <c r="D7" s="14">
        <f>L9</f>
        <v>30000</v>
      </c>
      <c r="E7" s="12" t="str">
        <f t="shared" si="1"/>
        <v>+</v>
      </c>
      <c r="F7" s="15"/>
      <c r="G7" s="71"/>
      <c r="H7" s="37"/>
      <c r="I7" s="28"/>
      <c r="J7" s="28"/>
      <c r="K7" s="28"/>
      <c r="L7" s="36"/>
      <c r="M7" s="28"/>
      <c r="N7" s="51"/>
      <c r="O7" s="37"/>
      <c r="P7" s="36"/>
      <c r="Q7" s="48" t="str">
        <f>H8</f>
        <v>(b)</v>
      </c>
      <c r="R7" s="49">
        <f>K8</f>
        <v>30000</v>
      </c>
      <c r="S7" s="52"/>
      <c r="T7" s="28"/>
      <c r="U7" s="36"/>
      <c r="W7" s="1" t="s">
        <v>77</v>
      </c>
      <c r="X7" s="246">
        <f>'TB @ 31 Dec 2024'!B13</f>
        <v>473830</v>
      </c>
    </row>
    <row r="8" spans="1:24" x14ac:dyDescent="0.3">
      <c r="A8" s="142" t="str">
        <f>H11</f>
        <v xml:space="preserve">(c) </v>
      </c>
      <c r="B8" s="13">
        <f>K11</f>
        <v>65000</v>
      </c>
      <c r="C8" s="12" t="str">
        <f t="shared" si="0"/>
        <v>=</v>
      </c>
      <c r="D8" s="14"/>
      <c r="E8" s="12" t="str">
        <f t="shared" si="1"/>
        <v>+</v>
      </c>
      <c r="F8" s="15"/>
      <c r="G8" s="71"/>
      <c r="H8" s="37" t="s">
        <v>21</v>
      </c>
      <c r="I8" s="28" t="s">
        <v>118</v>
      </c>
      <c r="J8" s="28"/>
      <c r="K8" s="35">
        <v>30000</v>
      </c>
      <c r="L8" s="36"/>
      <c r="M8" s="28"/>
      <c r="N8" s="51"/>
      <c r="O8" s="37"/>
      <c r="P8" s="36"/>
      <c r="Q8" s="48" t="str">
        <f>H11</f>
        <v xml:space="preserve">(c) </v>
      </c>
      <c r="R8" s="49"/>
      <c r="S8" s="52">
        <f>L12</f>
        <v>65000</v>
      </c>
      <c r="T8" s="28"/>
      <c r="U8" s="36"/>
    </row>
    <row r="9" spans="1:24" x14ac:dyDescent="0.3">
      <c r="A9" s="142"/>
      <c r="B9" s="13">
        <f>-L12</f>
        <v>-65000</v>
      </c>
      <c r="C9" s="12" t="str">
        <f t="shared" si="0"/>
        <v>=</v>
      </c>
      <c r="D9" s="14"/>
      <c r="E9" s="12" t="str">
        <f t="shared" si="1"/>
        <v>+</v>
      </c>
      <c r="F9" s="15"/>
      <c r="G9" s="71"/>
      <c r="H9" s="37"/>
      <c r="I9" s="28"/>
      <c r="J9" s="28" t="s">
        <v>207</v>
      </c>
      <c r="K9" s="28"/>
      <c r="L9" s="38">
        <f>K8</f>
        <v>30000</v>
      </c>
      <c r="M9" s="28"/>
      <c r="N9" s="51"/>
      <c r="O9" s="37"/>
      <c r="P9" s="36"/>
      <c r="Q9" s="48" t="str">
        <f>H14</f>
        <v>(d)</v>
      </c>
      <c r="R9" s="49">
        <f>K14</f>
        <v>35000</v>
      </c>
      <c r="S9" s="52"/>
      <c r="T9" s="28"/>
      <c r="U9" s="36"/>
      <c r="V9" s="49"/>
      <c r="W9" s="66" t="s">
        <v>123</v>
      </c>
      <c r="X9" s="74">
        <f>U30-(SUM(T31:T35))</f>
        <v>59816</v>
      </c>
    </row>
    <row r="10" spans="1:24" x14ac:dyDescent="0.3">
      <c r="A10" s="142" t="str">
        <f>H14</f>
        <v>(d)</v>
      </c>
      <c r="B10" s="13">
        <f>K14</f>
        <v>35000</v>
      </c>
      <c r="C10" s="12" t="str">
        <f>C8</f>
        <v>=</v>
      </c>
      <c r="D10" s="14"/>
      <c r="E10" s="12" t="str">
        <f>E8</f>
        <v>+</v>
      </c>
      <c r="F10" s="15">
        <f>L16</f>
        <v>96000</v>
      </c>
      <c r="G10" s="71"/>
      <c r="H10" s="37"/>
      <c r="I10" s="28"/>
      <c r="J10" s="28"/>
      <c r="K10" s="28"/>
      <c r="L10" s="36"/>
      <c r="M10" s="28"/>
      <c r="N10" s="51"/>
      <c r="O10" s="37"/>
      <c r="P10" s="36"/>
      <c r="Q10" s="48" t="str">
        <f>H21</f>
        <v xml:space="preserve">(e) </v>
      </c>
      <c r="R10" s="53">
        <f>K21</f>
        <v>64300</v>
      </c>
      <c r="S10" s="52"/>
      <c r="T10" s="28"/>
      <c r="U10" s="36"/>
      <c r="W10" s="66" t="s">
        <v>79</v>
      </c>
      <c r="X10" s="74">
        <f>(X4+X7)/2</f>
        <v>652613</v>
      </c>
    </row>
    <row r="11" spans="1:24" x14ac:dyDescent="0.3">
      <c r="A11" s="142"/>
      <c r="B11" s="13">
        <f>K15</f>
        <v>61000</v>
      </c>
      <c r="C11" s="12"/>
      <c r="D11" s="14"/>
      <c r="E11" s="12"/>
      <c r="F11" s="15"/>
      <c r="G11" s="71"/>
      <c r="H11" s="39" t="s">
        <v>22</v>
      </c>
      <c r="I11" s="28" t="s">
        <v>4</v>
      </c>
      <c r="J11" s="28"/>
      <c r="K11" s="35">
        <v>65000</v>
      </c>
      <c r="L11" s="36"/>
      <c r="M11" s="28"/>
      <c r="N11" s="51"/>
      <c r="O11" s="37"/>
      <c r="P11" s="36"/>
      <c r="Q11" s="48" t="str">
        <f>H24</f>
        <v>(f)</v>
      </c>
      <c r="S11" s="52">
        <f>L25</f>
        <v>22300</v>
      </c>
      <c r="T11" s="28"/>
      <c r="U11" s="36"/>
      <c r="W11" s="23" t="s">
        <v>76</v>
      </c>
      <c r="X11" s="75">
        <f>X9/X10</f>
        <v>9.1656157630939011E-2</v>
      </c>
    </row>
    <row r="12" spans="1:24" x14ac:dyDescent="0.3">
      <c r="A12" s="143"/>
      <c r="B12" s="13">
        <f>-L19</f>
        <v>-30720</v>
      </c>
      <c r="C12" s="12" t="str">
        <f>C10</f>
        <v>=</v>
      </c>
      <c r="D12" s="14"/>
      <c r="E12" s="12" t="str">
        <f>E10</f>
        <v>+</v>
      </c>
      <c r="F12" s="15">
        <f>-K18</f>
        <v>-30720</v>
      </c>
      <c r="G12" s="71"/>
      <c r="H12" s="37"/>
      <c r="I12" s="28"/>
      <c r="J12" s="28" t="s">
        <v>118</v>
      </c>
      <c r="K12" s="28"/>
      <c r="L12" s="38">
        <f>K11</f>
        <v>65000</v>
      </c>
      <c r="M12" s="35"/>
      <c r="N12" s="51"/>
      <c r="O12" s="37"/>
      <c r="P12" s="36"/>
      <c r="Q12" s="48" t="str">
        <f>H27</f>
        <v>(g)</v>
      </c>
      <c r="S12" s="52">
        <f>L28</f>
        <v>19200</v>
      </c>
      <c r="T12" s="28"/>
      <c r="U12" s="36"/>
      <c r="V12" s="49"/>
    </row>
    <row r="13" spans="1:24" x14ac:dyDescent="0.3">
      <c r="A13" s="143" t="str">
        <f>H21</f>
        <v xml:space="preserve">(e) </v>
      </c>
      <c r="B13" s="13">
        <f>K21</f>
        <v>64300</v>
      </c>
      <c r="C13" s="12" t="str">
        <f t="shared" si="0"/>
        <v>=</v>
      </c>
      <c r="D13" s="14"/>
      <c r="E13" s="12" t="str">
        <f t="shared" si="1"/>
        <v>+</v>
      </c>
      <c r="F13" s="68"/>
      <c r="G13" s="71"/>
      <c r="H13" s="37"/>
      <c r="I13" s="28"/>
      <c r="J13" s="28"/>
      <c r="K13" s="28"/>
      <c r="L13" s="36"/>
      <c r="M13" s="28"/>
      <c r="N13" s="79"/>
      <c r="O13" s="37"/>
      <c r="P13" s="36"/>
      <c r="Q13" s="48" t="str">
        <f>H30</f>
        <v>(h)</v>
      </c>
      <c r="R13" s="53"/>
      <c r="S13" s="52">
        <f>L31</f>
        <v>300000</v>
      </c>
      <c r="T13" s="28"/>
      <c r="U13" s="36"/>
    </row>
    <row r="14" spans="1:24" x14ac:dyDescent="0.3">
      <c r="A14" s="143"/>
      <c r="B14" s="13">
        <f>-L22</f>
        <v>-64300</v>
      </c>
      <c r="C14" s="12" t="str">
        <f t="shared" si="0"/>
        <v>=</v>
      </c>
      <c r="D14" s="14"/>
      <c r="E14" s="12" t="str">
        <f t="shared" si="1"/>
        <v>+</v>
      </c>
      <c r="F14" s="68"/>
      <c r="G14" s="71"/>
      <c r="H14" s="33" t="s">
        <v>23</v>
      </c>
      <c r="I14" s="28" t="s">
        <v>2</v>
      </c>
      <c r="J14" s="28"/>
      <c r="K14" s="35">
        <v>35000</v>
      </c>
      <c r="L14" s="36"/>
      <c r="M14" s="28"/>
      <c r="N14" s="79"/>
      <c r="O14" s="37"/>
      <c r="P14" s="36"/>
      <c r="Q14" s="48" t="str">
        <f>H33</f>
        <v>(i)</v>
      </c>
      <c r="R14" s="53"/>
      <c r="S14" s="52">
        <f>L34</f>
        <v>5500</v>
      </c>
      <c r="T14" s="28"/>
      <c r="U14" s="36"/>
    </row>
    <row r="15" spans="1:24" x14ac:dyDescent="0.3">
      <c r="A15" s="143" t="str">
        <f>H24</f>
        <v>(f)</v>
      </c>
      <c r="B15" s="13">
        <f>-L25</f>
        <v>-22300</v>
      </c>
      <c r="C15" s="12" t="str">
        <f t="shared" si="0"/>
        <v>=</v>
      </c>
      <c r="D15" s="14"/>
      <c r="E15" s="12" t="str">
        <f t="shared" si="1"/>
        <v>+</v>
      </c>
      <c r="F15" s="15">
        <f>-K24</f>
        <v>-22300</v>
      </c>
      <c r="G15" s="71"/>
      <c r="H15" s="37"/>
      <c r="I15" s="28" t="s">
        <v>39</v>
      </c>
      <c r="J15" s="28"/>
      <c r="K15" s="35">
        <f>L16-K14</f>
        <v>61000</v>
      </c>
      <c r="L15" s="38"/>
      <c r="M15" s="35"/>
      <c r="N15" s="51"/>
      <c r="O15" s="37"/>
      <c r="P15" s="36"/>
      <c r="Q15" s="48" t="str">
        <f>H36</f>
        <v>(j)</v>
      </c>
      <c r="R15" s="53">
        <f>K36</f>
        <v>5000</v>
      </c>
      <c r="S15" s="52"/>
      <c r="T15" s="28"/>
      <c r="U15" s="36"/>
      <c r="V15" s="49"/>
    </row>
    <row r="16" spans="1:24" x14ac:dyDescent="0.3">
      <c r="A16" s="143" t="str">
        <f>H27</f>
        <v>(g)</v>
      </c>
      <c r="B16" s="13">
        <f>-L28</f>
        <v>-19200</v>
      </c>
      <c r="C16" s="12" t="str">
        <f t="shared" si="0"/>
        <v>=</v>
      </c>
      <c r="D16" s="14">
        <f>-K27</f>
        <v>-19200</v>
      </c>
      <c r="E16" s="12" t="str">
        <f t="shared" si="1"/>
        <v>+</v>
      </c>
      <c r="F16" s="68"/>
      <c r="G16" s="71"/>
      <c r="H16" s="37"/>
      <c r="I16" s="28"/>
      <c r="J16" s="28" t="s">
        <v>51</v>
      </c>
      <c r="K16" s="28"/>
      <c r="L16" s="38">
        <v>96000</v>
      </c>
      <c r="M16" s="28"/>
      <c r="N16" s="37" t="str">
        <f>'TB @ 30 Sept 2025'!A4</f>
        <v>Accounts Receivable</v>
      </c>
      <c r="O16" s="46">
        <f>'TB @ 30 Sept 2025'!B4</f>
        <v>37100</v>
      </c>
      <c r="P16" s="47"/>
      <c r="Q16" s="48" t="str">
        <f>H14</f>
        <v>(d)</v>
      </c>
      <c r="R16" s="49">
        <f>K15</f>
        <v>61000</v>
      </c>
      <c r="S16" s="54"/>
      <c r="T16" s="35">
        <f>O16+SUM(R16:R17)-SUM(S16:S17)</f>
        <v>33800</v>
      </c>
      <c r="U16" s="36"/>
      <c r="V16" s="49"/>
    </row>
    <row r="17" spans="1:30" x14ac:dyDescent="0.3">
      <c r="A17" s="143" t="str">
        <f>H30</f>
        <v>(h)</v>
      </c>
      <c r="B17" s="13">
        <f>K30</f>
        <v>300000</v>
      </c>
      <c r="C17" s="12" t="str">
        <f t="shared" si="0"/>
        <v>=</v>
      </c>
      <c r="D17" s="14"/>
      <c r="E17" s="12" t="str">
        <f t="shared" si="1"/>
        <v>+</v>
      </c>
      <c r="F17" s="68"/>
      <c r="G17" s="71"/>
      <c r="H17" s="37"/>
      <c r="I17" s="28"/>
      <c r="J17" s="28"/>
      <c r="K17" s="28"/>
      <c r="L17" s="36"/>
      <c r="M17" s="28"/>
      <c r="N17" s="37"/>
      <c r="O17" s="46"/>
      <c r="P17" s="47"/>
      <c r="Q17" s="48" t="str">
        <f>H21</f>
        <v xml:space="preserve">(e) </v>
      </c>
      <c r="R17" s="49"/>
      <c r="S17" s="54">
        <f>L22</f>
        <v>64300</v>
      </c>
      <c r="T17" s="35"/>
      <c r="U17" s="36"/>
      <c r="V17" s="271"/>
      <c r="W17" s="272"/>
      <c r="X17" s="272"/>
      <c r="Y17" s="272"/>
      <c r="Z17" s="272"/>
      <c r="AA17" s="272"/>
      <c r="AB17" s="272"/>
    </row>
    <row r="18" spans="1:30" x14ac:dyDescent="0.3">
      <c r="A18" s="143"/>
      <c r="B18" s="13">
        <f>-L31</f>
        <v>-300000</v>
      </c>
      <c r="C18" s="12" t="str">
        <f t="shared" si="0"/>
        <v>=</v>
      </c>
      <c r="D18" s="14"/>
      <c r="E18" s="12" t="str">
        <f t="shared" si="1"/>
        <v>+</v>
      </c>
      <c r="F18" s="68"/>
      <c r="G18" s="71"/>
      <c r="H18" s="39"/>
      <c r="I18" s="28" t="s">
        <v>5</v>
      </c>
      <c r="J18" s="28"/>
      <c r="K18" s="35">
        <f>L16*0.32</f>
        <v>30720</v>
      </c>
      <c r="L18" s="36"/>
      <c r="M18" s="35"/>
      <c r="N18" s="37" t="str">
        <f>'TB @ 30 Sept 2025'!A5</f>
        <v>Prepaid Rent</v>
      </c>
      <c r="O18" s="46">
        <f>'TB @ 30 Sept 2025'!B5</f>
        <v>19800</v>
      </c>
      <c r="P18" s="47"/>
      <c r="Q18" s="48"/>
      <c r="R18" s="49"/>
      <c r="S18" s="54"/>
      <c r="T18" s="35">
        <f>O18+R18-S18</f>
        <v>19800</v>
      </c>
      <c r="U18" s="36"/>
      <c r="V18" s="273"/>
      <c r="W18" s="272"/>
      <c r="X18" s="272"/>
      <c r="Y18" s="272"/>
      <c r="Z18" s="272"/>
      <c r="AA18" s="272"/>
      <c r="AB18" s="272"/>
      <c r="AD18" s="53"/>
    </row>
    <row r="19" spans="1:30" x14ac:dyDescent="0.3">
      <c r="A19" s="143" t="str">
        <f>H33</f>
        <v>(i)</v>
      </c>
      <c r="B19" s="13">
        <v>-5500</v>
      </c>
      <c r="C19" s="12" t="str">
        <f t="shared" si="0"/>
        <v>=</v>
      </c>
      <c r="D19" s="14"/>
      <c r="E19" s="12" t="str">
        <f t="shared" si="1"/>
        <v>+</v>
      </c>
      <c r="F19" s="15">
        <f>-K33</f>
        <v>-5500</v>
      </c>
      <c r="G19" s="71"/>
      <c r="H19" s="37"/>
      <c r="I19" s="28"/>
      <c r="J19" s="28" t="s">
        <v>4</v>
      </c>
      <c r="K19" s="28"/>
      <c r="L19" s="38">
        <f>K18</f>
        <v>30720</v>
      </c>
      <c r="M19" s="35"/>
      <c r="N19" s="37" t="str">
        <f>'TB @ 30 Sept 2025'!A6</f>
        <v>Inventory</v>
      </c>
      <c r="O19" s="46">
        <f>'TB @ 30 Sept 2025'!B6</f>
        <v>84000</v>
      </c>
      <c r="P19" s="47"/>
      <c r="Q19" s="48" t="str">
        <f>H11</f>
        <v xml:space="preserve">(c) </v>
      </c>
      <c r="R19" s="49">
        <f>K11</f>
        <v>65000</v>
      </c>
      <c r="S19" s="54"/>
      <c r="T19" s="35">
        <f>O19+SUM(R19:R20)-SUM(S19:S20)</f>
        <v>118280</v>
      </c>
      <c r="U19" s="38"/>
      <c r="V19" s="273"/>
      <c r="W19" s="274"/>
      <c r="X19" s="272"/>
      <c r="Y19" s="272"/>
      <c r="Z19" s="272"/>
      <c r="AA19" s="272"/>
      <c r="AB19" s="272"/>
    </row>
    <row r="20" spans="1:30" x14ac:dyDescent="0.3">
      <c r="A20" s="146" t="str">
        <f>H36</f>
        <v>(j)</v>
      </c>
      <c r="B20" s="13">
        <f>K36</f>
        <v>5000</v>
      </c>
      <c r="C20" s="12" t="str">
        <f t="shared" si="0"/>
        <v>=</v>
      </c>
      <c r="D20" s="14">
        <f>L37</f>
        <v>5000</v>
      </c>
      <c r="E20" s="12"/>
      <c r="F20" s="15"/>
      <c r="H20" s="37"/>
      <c r="I20" s="28"/>
      <c r="J20" s="28"/>
      <c r="K20" s="28"/>
      <c r="L20" s="38"/>
      <c r="M20" s="35"/>
      <c r="N20" s="37"/>
      <c r="O20" s="46"/>
      <c r="P20" s="47"/>
      <c r="Q20" s="48" t="str">
        <f>H14</f>
        <v>(d)</v>
      </c>
      <c r="R20" s="49"/>
      <c r="S20" s="54">
        <f>L19</f>
        <v>30720</v>
      </c>
      <c r="T20" s="35"/>
      <c r="U20" s="38"/>
      <c r="V20" s="271"/>
      <c r="W20" s="274"/>
      <c r="X20" s="272"/>
      <c r="Y20" s="272"/>
      <c r="Z20" s="272"/>
      <c r="AA20" s="275"/>
      <c r="AB20" s="272"/>
    </row>
    <row r="21" spans="1:30" x14ac:dyDescent="0.3">
      <c r="A21" s="146" t="str">
        <f>H39</f>
        <v>(k)</v>
      </c>
      <c r="B21" s="13"/>
      <c r="C21" s="12" t="str">
        <f t="shared" si="0"/>
        <v>=</v>
      </c>
      <c r="D21" s="14">
        <f>L40</f>
        <v>12650</v>
      </c>
      <c r="E21" s="12"/>
      <c r="F21" s="15">
        <f>-K39</f>
        <v>-12650</v>
      </c>
      <c r="H21" s="37" t="s">
        <v>24</v>
      </c>
      <c r="I21" s="28" t="str">
        <f>'TB @ 30 Sept 2025'!A3</f>
        <v>Cash</v>
      </c>
      <c r="J21" s="28"/>
      <c r="K21" s="35">
        <v>64300</v>
      </c>
      <c r="L21" s="38"/>
      <c r="M21" s="35"/>
      <c r="N21" s="37" t="s">
        <v>215</v>
      </c>
      <c r="O21" s="46">
        <v>0</v>
      </c>
      <c r="P21" s="47"/>
      <c r="Q21" s="48" t="str">
        <f>H30</f>
        <v>(h)</v>
      </c>
      <c r="R21" s="49">
        <f>K30</f>
        <v>300000</v>
      </c>
      <c r="S21" s="50"/>
      <c r="T21" s="35">
        <f>O21+R21-S21</f>
        <v>300000</v>
      </c>
      <c r="U21" s="36"/>
      <c r="V21" s="273"/>
      <c r="W21" s="272"/>
      <c r="X21" s="272"/>
      <c r="Y21" s="272"/>
      <c r="Z21" s="272"/>
      <c r="AA21" s="272"/>
      <c r="AB21" s="272"/>
    </row>
    <row r="22" spans="1:30" x14ac:dyDescent="0.3">
      <c r="A22" s="20" t="s">
        <v>213</v>
      </c>
      <c r="B22" s="17">
        <f>SUM(B5:B21)</f>
        <v>831396</v>
      </c>
      <c r="C22" s="144" t="s">
        <v>36</v>
      </c>
      <c r="D22" s="18">
        <f>SUM(D5:D21)</f>
        <v>116350</v>
      </c>
      <c r="E22" s="144" t="s">
        <v>37</v>
      </c>
      <c r="F22" s="19">
        <f>SUM(F5:F21)</f>
        <v>715046</v>
      </c>
      <c r="G22" s="248"/>
      <c r="H22" s="37"/>
      <c r="I22" s="28"/>
      <c r="J22" s="28" t="str">
        <f>'TB @ 30 Sept 2025'!A4</f>
        <v>Accounts Receivable</v>
      </c>
      <c r="K22" s="28"/>
      <c r="L22" s="38">
        <f>K21</f>
        <v>64300</v>
      </c>
      <c r="M22" s="28"/>
      <c r="N22" s="37" t="str">
        <f>'TB @ 30 Sept 2025'!A7</f>
        <v>Accounts Payable</v>
      </c>
      <c r="O22" s="46"/>
      <c r="P22" s="56">
        <f>'TB @ 30 Sept 2025'!C7</f>
        <v>23400</v>
      </c>
      <c r="Q22" s="48" t="str">
        <f>H27</f>
        <v>(g)</v>
      </c>
      <c r="R22" s="49">
        <f>K27</f>
        <v>19200</v>
      </c>
      <c r="S22" s="54"/>
      <c r="T22" s="35"/>
      <c r="U22" s="38">
        <f>P22+SUM(S22:S23)-SUM(R22:R23)</f>
        <v>16850</v>
      </c>
      <c r="V22" s="273"/>
      <c r="W22" s="272"/>
      <c r="X22" s="272"/>
      <c r="Y22" s="272"/>
      <c r="Z22" s="272"/>
      <c r="AA22" s="272"/>
      <c r="AB22" s="272"/>
    </row>
    <row r="23" spans="1:30" x14ac:dyDescent="0.3">
      <c r="A23" s="72"/>
      <c r="H23" s="33"/>
      <c r="I23" s="28"/>
      <c r="J23" s="28"/>
      <c r="K23" s="35"/>
      <c r="L23" s="36"/>
      <c r="M23" s="35"/>
      <c r="N23" s="37"/>
      <c r="O23" s="46"/>
      <c r="P23" s="56"/>
      <c r="Q23" s="48" t="str">
        <f>H39</f>
        <v>(k)</v>
      </c>
      <c r="R23" s="49"/>
      <c r="S23" s="54">
        <f>L40</f>
        <v>12650</v>
      </c>
      <c r="T23" s="28"/>
      <c r="U23" s="38"/>
      <c r="V23" s="271"/>
      <c r="W23" s="272"/>
      <c r="X23" s="272"/>
      <c r="Y23" s="272"/>
      <c r="Z23" s="272"/>
      <c r="AA23" s="272"/>
      <c r="AB23" s="272"/>
    </row>
    <row r="24" spans="1:30" x14ac:dyDescent="0.3">
      <c r="A24" s="285" t="s">
        <v>121</v>
      </c>
      <c r="B24" s="286">
        <f>SUM(T6:T21)</f>
        <v>831396</v>
      </c>
      <c r="C24" s="287"/>
      <c r="D24" s="286">
        <f>SUM(U22:U26)</f>
        <v>116350</v>
      </c>
      <c r="E24" s="287"/>
      <c r="F24" s="286">
        <f>SUM(U27:U36)-SUM(T27:T36)</f>
        <v>715046</v>
      </c>
      <c r="H24" s="40" t="s">
        <v>34</v>
      </c>
      <c r="I24" s="28" t="str">
        <f>'TB @ 30 Sept 2025'!A17</f>
        <v>Salaries Expense</v>
      </c>
      <c r="J24" s="28"/>
      <c r="K24" s="35">
        <v>22300</v>
      </c>
      <c r="L24" s="38"/>
      <c r="M24" s="35"/>
      <c r="N24" s="37" t="str">
        <f>'TB @ 30 Sept 2025'!A8</f>
        <v>Unearned Revenue</v>
      </c>
      <c r="O24" s="46"/>
      <c r="P24" s="56">
        <f>'TB @ 30 Sept 2025'!C8</f>
        <v>14500</v>
      </c>
      <c r="Q24" s="48" t="str">
        <f>H36</f>
        <v>(j)</v>
      </c>
      <c r="R24" s="49"/>
      <c r="S24" s="54">
        <f>L37</f>
        <v>5000</v>
      </c>
      <c r="T24" s="28"/>
      <c r="U24" s="38">
        <f t="shared" ref="U24:U30" si="2">P24+S24-R24</f>
        <v>19500</v>
      </c>
      <c r="V24" s="273"/>
      <c r="W24" s="272"/>
      <c r="X24" s="272"/>
      <c r="Y24" s="272"/>
      <c r="Z24" s="272"/>
      <c r="AA24" s="272"/>
      <c r="AB24" s="272"/>
    </row>
    <row r="25" spans="1:30" x14ac:dyDescent="0.3">
      <c r="A25" s="288"/>
      <c r="B25" s="286">
        <f>B22-B24</f>
        <v>0</v>
      </c>
      <c r="C25" s="288"/>
      <c r="D25" s="286">
        <f>D22-D24</f>
        <v>0</v>
      </c>
      <c r="E25" s="289"/>
      <c r="F25" s="286">
        <f>F22-F24</f>
        <v>0</v>
      </c>
      <c r="H25" s="37"/>
      <c r="I25" s="28"/>
      <c r="J25" s="28" t="str">
        <f>'TB @ 30 Sept 2025'!A3</f>
        <v>Cash</v>
      </c>
      <c r="K25" s="28"/>
      <c r="L25" s="38">
        <f>K24</f>
        <v>22300</v>
      </c>
      <c r="M25" s="28"/>
      <c r="N25" s="37" t="s">
        <v>207</v>
      </c>
      <c r="O25" s="46"/>
      <c r="P25" s="56">
        <v>0</v>
      </c>
      <c r="Q25" s="48" t="str">
        <f>H8</f>
        <v>(b)</v>
      </c>
      <c r="R25" s="49"/>
      <c r="S25" s="54">
        <f>L9</f>
        <v>30000</v>
      </c>
      <c r="T25" s="28"/>
      <c r="U25" s="38">
        <f t="shared" si="2"/>
        <v>30000</v>
      </c>
      <c r="V25" s="273"/>
      <c r="W25" s="276"/>
      <c r="X25" s="277"/>
      <c r="Y25" s="278"/>
      <c r="Z25" s="272"/>
      <c r="AA25" s="272"/>
      <c r="AB25" s="272"/>
    </row>
    <row r="26" spans="1:30" x14ac:dyDescent="0.3">
      <c r="D26" s="73"/>
      <c r="E26" s="73"/>
      <c r="F26" s="73"/>
      <c r="H26" s="33"/>
      <c r="I26" s="28"/>
      <c r="J26" s="28"/>
      <c r="K26" s="28"/>
      <c r="L26" s="36"/>
      <c r="M26" s="35"/>
      <c r="N26" s="37" t="str">
        <f>'TB @ 30 Sept 2025'!A9</f>
        <v>Long-term Debt</v>
      </c>
      <c r="O26" s="46"/>
      <c r="P26" s="56">
        <f>'TB @ 30 Sept 2025'!C9</f>
        <v>50000</v>
      </c>
      <c r="Q26" s="48"/>
      <c r="R26" s="58"/>
      <c r="S26" s="54"/>
      <c r="T26" s="35"/>
      <c r="U26" s="38">
        <f t="shared" si="2"/>
        <v>50000</v>
      </c>
      <c r="V26" s="273"/>
      <c r="W26" s="276"/>
      <c r="X26" s="272"/>
      <c r="Y26" s="279"/>
      <c r="Z26" s="272"/>
      <c r="AA26" s="280"/>
      <c r="AB26" s="272"/>
    </row>
    <row r="27" spans="1:30" x14ac:dyDescent="0.3">
      <c r="H27" s="37" t="s">
        <v>25</v>
      </c>
      <c r="I27" s="28" t="str">
        <f>'TB @ 30 Sept 2025'!A7</f>
        <v>Accounts Payable</v>
      </c>
      <c r="J27" s="28"/>
      <c r="K27" s="35">
        <v>19200</v>
      </c>
      <c r="L27" s="38"/>
      <c r="M27" s="35"/>
      <c r="N27" s="37" t="str">
        <f>'TB @ 30 Sept 2025'!A10</f>
        <v>Share Capital - Ordinary Shares</v>
      </c>
      <c r="O27" s="46"/>
      <c r="P27" s="56">
        <f>'TB @ 30 Sept 2025'!C10</f>
        <v>200000</v>
      </c>
      <c r="Q27" s="48" t="str">
        <f>Q6</f>
        <v>(a)</v>
      </c>
      <c r="R27" s="58"/>
      <c r="S27" s="54">
        <f>L6</f>
        <v>250000</v>
      </c>
      <c r="T27" s="28"/>
      <c r="U27" s="38">
        <f t="shared" si="2"/>
        <v>450000</v>
      </c>
      <c r="V27" s="273"/>
      <c r="W27" s="272"/>
      <c r="X27" s="272"/>
      <c r="Y27" s="272"/>
      <c r="Z27" s="272"/>
      <c r="AA27" s="272"/>
      <c r="AB27" s="272"/>
    </row>
    <row r="28" spans="1:30" x14ac:dyDescent="0.3">
      <c r="H28" s="37"/>
      <c r="I28" s="28"/>
      <c r="J28" s="28" t="str">
        <f>'TB @ 30 Sept 2025'!A3</f>
        <v>Cash</v>
      </c>
      <c r="K28" s="28"/>
      <c r="L28" s="38">
        <f>K27</f>
        <v>19200</v>
      </c>
      <c r="M28" s="28"/>
      <c r="N28" s="37" t="str">
        <f>'TB @ 30 Sept 2025'!A11</f>
        <v>Share Capital - Preference Shares (cumulative)</v>
      </c>
      <c r="O28" s="46"/>
      <c r="P28" s="56">
        <f>'TB @ 30 Sept 2025'!C11</f>
        <v>200000</v>
      </c>
      <c r="Q28" s="48"/>
      <c r="R28" s="58"/>
      <c r="S28" s="54"/>
      <c r="T28" s="28"/>
      <c r="U28" s="38">
        <f t="shared" si="2"/>
        <v>200000</v>
      </c>
      <c r="V28" s="273"/>
      <c r="W28" s="272"/>
      <c r="X28" s="272"/>
      <c r="Y28" s="272"/>
      <c r="Z28" s="272"/>
      <c r="AA28" s="272"/>
      <c r="AB28" s="272"/>
    </row>
    <row r="29" spans="1:30" x14ac:dyDescent="0.3">
      <c r="H29" s="33"/>
      <c r="I29" s="28"/>
      <c r="J29" s="28"/>
      <c r="K29" s="35"/>
      <c r="L29" s="36"/>
      <c r="M29" s="35"/>
      <c r="N29" s="37" t="str">
        <f>'TB @ 30 Sept 2025'!A12</f>
        <v>Retained Earnings  (@ 31 Dec 2024)</v>
      </c>
      <c r="O29" s="46"/>
      <c r="P29" s="56">
        <f>'TB @ 30 Sept 2025'!C12</f>
        <v>5230</v>
      </c>
      <c r="Q29" s="48"/>
      <c r="R29" s="58"/>
      <c r="S29" s="50"/>
      <c r="T29" s="35"/>
      <c r="U29" s="38">
        <f t="shared" si="2"/>
        <v>5230</v>
      </c>
    </row>
    <row r="30" spans="1:30" x14ac:dyDescent="0.3">
      <c r="H30" s="37" t="s">
        <v>35</v>
      </c>
      <c r="I30" s="28" t="str">
        <f>N21</f>
        <v>Property Plant and Equipment (PPE)</v>
      </c>
      <c r="J30" s="28"/>
      <c r="K30" s="35">
        <v>300000</v>
      </c>
      <c r="L30" s="38"/>
      <c r="M30" s="35"/>
      <c r="N30" s="37" t="str">
        <f>'TB @ 30 Sept 2025'!A13</f>
        <v>Sales Revenue</v>
      </c>
      <c r="O30" s="46"/>
      <c r="P30" s="56">
        <f>'TB @ 30 Sept 2025'!C13</f>
        <v>212300</v>
      </c>
      <c r="Q30" s="48" t="str">
        <f>Q16</f>
        <v>(d)</v>
      </c>
      <c r="R30" s="58"/>
      <c r="S30" s="54">
        <f>L16</f>
        <v>96000</v>
      </c>
      <c r="T30" s="28"/>
      <c r="U30" s="38">
        <f t="shared" si="2"/>
        <v>308300</v>
      </c>
    </row>
    <row r="31" spans="1:30" x14ac:dyDescent="0.3">
      <c r="H31" s="37"/>
      <c r="I31" s="28"/>
      <c r="J31" s="28" t="s">
        <v>2</v>
      </c>
      <c r="K31" s="28"/>
      <c r="L31" s="38">
        <f>K30</f>
        <v>300000</v>
      </c>
      <c r="M31" s="28"/>
      <c r="N31" s="37" t="str">
        <f>'TB @ 30 Sept 2025'!A14</f>
        <v>Cost of Goods Sold</v>
      </c>
      <c r="O31" s="46">
        <f>'TB @ 30 Sept 2025'!B14</f>
        <v>80674</v>
      </c>
      <c r="P31" s="47"/>
      <c r="Q31" s="48" t="str">
        <f>Q30</f>
        <v>(d)</v>
      </c>
      <c r="R31" s="49">
        <f>K18</f>
        <v>30720</v>
      </c>
      <c r="S31" s="50"/>
      <c r="T31" s="35">
        <f>O31+R31-S31</f>
        <v>111394</v>
      </c>
      <c r="U31" s="38"/>
      <c r="W31" s="53"/>
    </row>
    <row r="32" spans="1:30" x14ac:dyDescent="0.3">
      <c r="H32" s="33"/>
      <c r="I32" s="28"/>
      <c r="J32" s="28"/>
      <c r="K32" s="35"/>
      <c r="L32" s="36"/>
      <c r="M32" s="35"/>
      <c r="N32" s="37" t="str">
        <f>'TB @ 30 Sept 2025'!A15</f>
        <v>Rent Expense</v>
      </c>
      <c r="O32" s="46">
        <f>'TB @ 30 Sept 2025'!B15</f>
        <v>6600</v>
      </c>
      <c r="P32" s="56"/>
      <c r="Q32" s="48"/>
      <c r="R32" s="49"/>
      <c r="S32" s="50"/>
      <c r="T32" s="35">
        <f>O32+R32-S32</f>
        <v>6600</v>
      </c>
      <c r="U32" s="38"/>
      <c r="V32" s="49"/>
    </row>
    <row r="33" spans="8:22" x14ac:dyDescent="0.3">
      <c r="H33" s="37" t="s">
        <v>72</v>
      </c>
      <c r="I33" s="28" t="str">
        <f>'TB @ 30 Sept 2025'!A16</f>
        <v>Marketing Expense</v>
      </c>
      <c r="J33" s="28"/>
      <c r="K33" s="35">
        <v>5500</v>
      </c>
      <c r="L33" s="38"/>
      <c r="M33" s="28"/>
      <c r="N33" s="37" t="str">
        <f>'TB @ 30 Sept 2025'!A16</f>
        <v>Marketing Expense</v>
      </c>
      <c r="O33" s="46">
        <f>'TB @ 30 Sept 2025'!B16</f>
        <v>13000</v>
      </c>
      <c r="P33" s="47"/>
      <c r="Q33" s="48" t="str">
        <f>H33</f>
        <v>(i)</v>
      </c>
      <c r="R33" s="49">
        <f>K33</f>
        <v>5500</v>
      </c>
      <c r="S33" s="50"/>
      <c r="T33" s="35">
        <f>O33+R33-S33</f>
        <v>18500</v>
      </c>
      <c r="U33" s="38"/>
    </row>
    <row r="34" spans="8:22" x14ac:dyDescent="0.3">
      <c r="H34" s="4"/>
      <c r="J34" s="28" t="s">
        <v>2</v>
      </c>
      <c r="L34" s="38">
        <f>K33</f>
        <v>5500</v>
      </c>
      <c r="N34" s="37" t="str">
        <f>'TB @ 30 Sept 2025'!A17</f>
        <v>Salaries Expense</v>
      </c>
      <c r="O34" s="46">
        <f>'TB @ 30 Sept 2025'!B17</f>
        <v>69300</v>
      </c>
      <c r="P34" s="47"/>
      <c r="Q34" s="48" t="str">
        <f>H24</f>
        <v>(f)</v>
      </c>
      <c r="R34" s="49">
        <f>K24</f>
        <v>22300</v>
      </c>
      <c r="S34" s="50"/>
      <c r="T34" s="35">
        <f>O34+R34-S34</f>
        <v>91600</v>
      </c>
      <c r="U34" s="38"/>
    </row>
    <row r="35" spans="8:22" x14ac:dyDescent="0.3">
      <c r="H35" s="4"/>
      <c r="J35" s="28"/>
      <c r="L35" s="38"/>
      <c r="M35" s="141"/>
      <c r="N35" s="37" t="str">
        <f>'TB @ 30 Sept 2025'!A18</f>
        <v>General Admin Expense</v>
      </c>
      <c r="O35" s="46">
        <f>'TB @ 30 Sept 2025'!B18</f>
        <v>7740</v>
      </c>
      <c r="P35" s="47"/>
      <c r="Q35" s="48" t="str">
        <f>H39</f>
        <v>(k)</v>
      </c>
      <c r="R35" s="49">
        <f>K39</f>
        <v>12650</v>
      </c>
      <c r="S35" s="50"/>
      <c r="T35" s="35">
        <f>O35+R35-S35</f>
        <v>20390</v>
      </c>
      <c r="U35" s="38"/>
      <c r="V35" s="49"/>
    </row>
    <row r="36" spans="8:22" x14ac:dyDescent="0.3">
      <c r="H36" s="37" t="s">
        <v>122</v>
      </c>
      <c r="I36" s="28" t="s">
        <v>118</v>
      </c>
      <c r="J36" s="28"/>
      <c r="K36" s="35">
        <v>5000</v>
      </c>
      <c r="L36" s="38"/>
      <c r="N36" s="37"/>
      <c r="O36" s="46"/>
      <c r="P36" s="47"/>
      <c r="Q36" s="48"/>
      <c r="R36" s="58"/>
      <c r="S36" s="50"/>
      <c r="T36" s="35"/>
      <c r="U36" s="38"/>
    </row>
    <row r="37" spans="8:22" x14ac:dyDescent="0.3">
      <c r="H37" s="4"/>
      <c r="J37" s="28" t="s">
        <v>44</v>
      </c>
      <c r="K37" s="28"/>
      <c r="L37" s="38">
        <f>K36</f>
        <v>5000</v>
      </c>
      <c r="N37" s="59"/>
      <c r="O37" s="60">
        <f>SUM(O6:O36)</f>
        <v>705430</v>
      </c>
      <c r="P37" s="61">
        <f>SUM(P6:P36)</f>
        <v>705430</v>
      </c>
      <c r="Q37" s="62"/>
      <c r="R37" s="63">
        <f>SUM(R6:R36)</f>
        <v>900670</v>
      </c>
      <c r="S37" s="64">
        <f>SUM(S6:S36)</f>
        <v>900670</v>
      </c>
      <c r="T37" s="65">
        <f>SUM(T6:T36)</f>
        <v>1079880</v>
      </c>
      <c r="U37" s="61">
        <f>SUM(U6:U36)</f>
        <v>1079880</v>
      </c>
    </row>
    <row r="38" spans="8:22" x14ac:dyDescent="0.3">
      <c r="H38" s="4"/>
      <c r="J38" s="28"/>
      <c r="K38" s="28"/>
      <c r="L38" s="38"/>
      <c r="P38" s="76"/>
      <c r="S38" s="77"/>
      <c r="T38" s="77"/>
      <c r="U38" s="76"/>
      <c r="V38" s="49"/>
    </row>
    <row r="39" spans="8:22" x14ac:dyDescent="0.3">
      <c r="H39" s="37" t="s">
        <v>216</v>
      </c>
      <c r="I39" s="28" t="str">
        <f>'TB @ 30 Sept 2025'!A18</f>
        <v>General Admin Expense</v>
      </c>
      <c r="J39" s="28"/>
      <c r="K39" s="35">
        <v>12650</v>
      </c>
      <c r="L39" s="38"/>
      <c r="N39" s="273"/>
      <c r="O39" s="272"/>
      <c r="P39" s="272"/>
      <c r="Q39" s="272"/>
      <c r="R39" s="272"/>
      <c r="S39" s="272"/>
      <c r="T39" s="290"/>
      <c r="U39" s="271"/>
    </row>
    <row r="40" spans="8:22" x14ac:dyDescent="0.3">
      <c r="H40" s="4"/>
      <c r="J40" s="28" t="s">
        <v>8</v>
      </c>
      <c r="K40" s="28"/>
      <c r="L40" s="38">
        <f>K39</f>
        <v>12650</v>
      </c>
      <c r="N40" s="273"/>
      <c r="O40" s="272"/>
      <c r="P40" s="272"/>
      <c r="Q40" s="272"/>
      <c r="R40" s="272"/>
      <c r="S40" s="272"/>
      <c r="T40" s="272"/>
      <c r="U40" s="272"/>
      <c r="V40" s="272"/>
    </row>
    <row r="41" spans="8:22" ht="15" thickBot="1" x14ac:dyDescent="0.35">
      <c r="H41" s="4"/>
      <c r="J41" s="1"/>
      <c r="K41" s="41">
        <f>SUM(K4:K37)</f>
        <v>888020</v>
      </c>
      <c r="L41" s="42">
        <f>SUM(L4:L37)</f>
        <v>888020</v>
      </c>
      <c r="N41" s="273"/>
      <c r="O41" s="272"/>
      <c r="P41" s="272"/>
      <c r="Q41" s="272"/>
      <c r="R41" s="272"/>
      <c r="S41" s="272"/>
      <c r="T41" s="272"/>
      <c r="U41" s="272"/>
      <c r="V41" s="272"/>
    </row>
    <row r="42" spans="8:22" ht="15" thickTop="1" x14ac:dyDescent="0.3">
      <c r="H42" s="5"/>
      <c r="I42" s="2"/>
      <c r="J42" s="2"/>
      <c r="K42" s="2"/>
      <c r="L42" s="43"/>
      <c r="O42" s="53"/>
      <c r="S42" s="272"/>
      <c r="T42" s="272"/>
      <c r="U42" s="272"/>
      <c r="V42" s="272"/>
    </row>
    <row r="43" spans="8:22" x14ac:dyDescent="0.3">
      <c r="T43" s="291"/>
      <c r="U43" s="291"/>
    </row>
    <row r="44" spans="8:22" x14ac:dyDescent="0.3">
      <c r="T44" s="291"/>
      <c r="U44" s="291"/>
    </row>
  </sheetData>
  <mergeCells count="5">
    <mergeCell ref="N3:U3"/>
    <mergeCell ref="N4:N5"/>
    <mergeCell ref="O4:P4"/>
    <mergeCell ref="Q4:S4"/>
    <mergeCell ref="T4:U4"/>
  </mergeCells>
  <pageMargins left="0.7" right="0.7" top="0.75" bottom="0.75" header="0.3" footer="0.3"/>
  <pageSetup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77A34-6FB5-4D49-9AD0-2B7D5E78F894}">
  <dimension ref="A1:F41"/>
  <sheetViews>
    <sheetView topLeftCell="A12" workbookViewId="0">
      <selection activeCell="I28" sqref="I28"/>
    </sheetView>
  </sheetViews>
  <sheetFormatPr defaultColWidth="8.88671875" defaultRowHeight="14.4" x14ac:dyDescent="0.3"/>
  <cols>
    <col min="1" max="1" width="6.77734375" style="1" customWidth="1"/>
    <col min="2" max="2" width="5.77734375" style="1" customWidth="1"/>
    <col min="3" max="3" width="37.77734375" style="31" customWidth="1"/>
    <col min="4" max="4" width="12" style="31" customWidth="1"/>
    <col min="5" max="5" width="12" style="1" customWidth="1"/>
    <col min="6" max="6" width="12" style="58" customWidth="1"/>
    <col min="7" max="16384" width="8.88671875" style="1"/>
  </cols>
  <sheetData>
    <row r="1" spans="1:6" ht="18" x14ac:dyDescent="0.35">
      <c r="A1" s="67" t="s">
        <v>46</v>
      </c>
      <c r="B1" s="67"/>
    </row>
    <row r="3" spans="1:6" x14ac:dyDescent="0.3">
      <c r="A3" s="29" t="s">
        <v>41</v>
      </c>
      <c r="B3" s="30"/>
      <c r="C3" s="12"/>
      <c r="D3" s="10" t="s">
        <v>14</v>
      </c>
      <c r="E3" s="11" t="s">
        <v>15</v>
      </c>
      <c r="F3" s="70"/>
    </row>
    <row r="4" spans="1:6" x14ac:dyDescent="0.3">
      <c r="A4" s="4"/>
      <c r="E4" s="32"/>
    </row>
    <row r="5" spans="1:6" x14ac:dyDescent="0.3">
      <c r="A5" s="33" t="s">
        <v>20</v>
      </c>
      <c r="B5" s="28" t="s">
        <v>17</v>
      </c>
      <c r="C5" s="34"/>
      <c r="D5" s="35">
        <f>'TB @ 30 Sept 2025'!B15</f>
        <v>6600</v>
      </c>
      <c r="E5" s="36"/>
    </row>
    <row r="6" spans="1:6" x14ac:dyDescent="0.3">
      <c r="A6" s="37"/>
      <c r="B6" s="28"/>
      <c r="C6" s="28" t="s">
        <v>19</v>
      </c>
      <c r="D6" s="28"/>
      <c r="E6" s="38">
        <f>D5</f>
        <v>6600</v>
      </c>
      <c r="F6" s="49"/>
    </row>
    <row r="7" spans="1:6" x14ac:dyDescent="0.3">
      <c r="A7" s="37"/>
      <c r="B7" s="28"/>
      <c r="C7" s="28"/>
      <c r="D7" s="28"/>
      <c r="E7" s="36"/>
    </row>
    <row r="8" spans="1:6" x14ac:dyDescent="0.3">
      <c r="A8" s="33" t="s">
        <v>21</v>
      </c>
      <c r="B8" s="28" t="s">
        <v>44</v>
      </c>
      <c r="C8" s="28"/>
      <c r="D8" s="35">
        <f>'Tutorial 2 Sol'!P24/2</f>
        <v>7250</v>
      </c>
      <c r="E8" s="36"/>
    </row>
    <row r="9" spans="1:6" x14ac:dyDescent="0.3">
      <c r="A9" s="37"/>
      <c r="B9" s="28"/>
      <c r="C9" s="28" t="s">
        <v>51</v>
      </c>
      <c r="D9" s="28"/>
      <c r="E9" s="38">
        <f>D8</f>
        <v>7250</v>
      </c>
      <c r="F9" s="49"/>
    </row>
    <row r="10" spans="1:6" x14ac:dyDescent="0.3">
      <c r="A10" s="37"/>
      <c r="B10" s="28"/>
      <c r="C10" s="28"/>
      <c r="D10" s="28"/>
      <c r="E10" s="36"/>
    </row>
    <row r="11" spans="1:6" x14ac:dyDescent="0.3">
      <c r="A11" s="37"/>
      <c r="B11" s="28" t="s">
        <v>5</v>
      </c>
      <c r="C11" s="28"/>
      <c r="D11" s="35">
        <v>2540</v>
      </c>
      <c r="E11" s="36"/>
    </row>
    <row r="12" spans="1:6" x14ac:dyDescent="0.3">
      <c r="A12" s="37"/>
      <c r="B12" s="28"/>
      <c r="C12" s="28" t="s">
        <v>4</v>
      </c>
      <c r="D12" s="28"/>
      <c r="E12" s="38">
        <f>D11</f>
        <v>2540</v>
      </c>
    </row>
    <row r="13" spans="1:6" x14ac:dyDescent="0.3">
      <c r="A13" s="37"/>
      <c r="B13" s="28"/>
      <c r="C13" s="28"/>
      <c r="D13" s="28"/>
      <c r="E13" s="36"/>
    </row>
    <row r="14" spans="1:6" x14ac:dyDescent="0.3">
      <c r="A14" s="39" t="s">
        <v>22</v>
      </c>
      <c r="B14" s="28" t="s">
        <v>0</v>
      </c>
      <c r="C14" s="28"/>
      <c r="D14" s="35">
        <v>2850</v>
      </c>
      <c r="E14" s="36"/>
    </row>
    <row r="15" spans="1:6" x14ac:dyDescent="0.3">
      <c r="A15" s="37"/>
      <c r="B15" s="28"/>
      <c r="C15" s="28" t="s">
        <v>42</v>
      </c>
      <c r="D15" s="28"/>
      <c r="E15" s="38">
        <f>D14</f>
        <v>2850</v>
      </c>
    </row>
    <row r="16" spans="1:6" x14ac:dyDescent="0.3">
      <c r="A16" s="37"/>
      <c r="B16" s="28"/>
      <c r="C16" s="28"/>
      <c r="D16" s="28"/>
      <c r="E16" s="36"/>
    </row>
    <row r="17" spans="1:6" x14ac:dyDescent="0.3">
      <c r="A17" s="37" t="s">
        <v>23</v>
      </c>
      <c r="B17" s="28" t="s">
        <v>217</v>
      </c>
      <c r="C17" s="28"/>
      <c r="D17" s="35">
        <f>450*4</f>
        <v>1800</v>
      </c>
      <c r="E17" s="36"/>
    </row>
    <row r="18" spans="1:6" x14ac:dyDescent="0.3">
      <c r="A18" s="37"/>
      <c r="B18" s="28"/>
      <c r="C18" s="28" t="s">
        <v>218</v>
      </c>
      <c r="D18" s="35"/>
      <c r="E18" s="38">
        <f>D17</f>
        <v>1800</v>
      </c>
      <c r="F18" s="49"/>
    </row>
    <row r="19" spans="1:6" x14ac:dyDescent="0.3">
      <c r="A19" s="33"/>
      <c r="B19" s="28"/>
      <c r="C19" s="28"/>
      <c r="D19" s="35"/>
      <c r="E19" s="36"/>
    </row>
    <row r="20" spans="1:6" x14ac:dyDescent="0.3">
      <c r="A20" s="33" t="s">
        <v>24</v>
      </c>
      <c r="B20" s="28" t="s">
        <v>43</v>
      </c>
      <c r="C20" s="28"/>
      <c r="D20" s="35">
        <v>8200</v>
      </c>
      <c r="E20" s="36"/>
    </row>
    <row r="21" spans="1:6" x14ac:dyDescent="0.3">
      <c r="A21" s="37"/>
      <c r="B21" s="28"/>
      <c r="C21" s="28" t="s">
        <v>197</v>
      </c>
      <c r="D21" s="28"/>
      <c r="E21" s="38">
        <f>D20</f>
        <v>8200</v>
      </c>
      <c r="F21" s="49"/>
    </row>
    <row r="22" spans="1:6" x14ac:dyDescent="0.3">
      <c r="A22" s="37"/>
      <c r="B22" s="28"/>
      <c r="C22" s="28"/>
      <c r="D22" s="28"/>
      <c r="E22" s="36"/>
    </row>
    <row r="23" spans="1:6" x14ac:dyDescent="0.3">
      <c r="A23" s="37" t="s">
        <v>34</v>
      </c>
      <c r="B23" s="28" t="s">
        <v>219</v>
      </c>
      <c r="C23" s="28"/>
      <c r="D23" s="35">
        <v>2200</v>
      </c>
      <c r="E23" s="36"/>
    </row>
    <row r="24" spans="1:6" x14ac:dyDescent="0.3">
      <c r="A24" s="37"/>
      <c r="B24" s="28"/>
      <c r="C24" s="28" t="s">
        <v>18</v>
      </c>
      <c r="D24" s="28"/>
      <c r="E24" s="38">
        <f>D23</f>
        <v>2200</v>
      </c>
      <c r="F24" s="49"/>
    </row>
    <row r="25" spans="1:6" x14ac:dyDescent="0.3">
      <c r="A25" s="37"/>
      <c r="B25" s="28"/>
      <c r="C25" s="28"/>
      <c r="D25" s="28"/>
      <c r="E25" s="36"/>
    </row>
    <row r="26" spans="1:6" x14ac:dyDescent="0.3">
      <c r="A26" s="37" t="s">
        <v>25</v>
      </c>
      <c r="B26" s="28" t="s">
        <v>45</v>
      </c>
      <c r="C26" s="28"/>
      <c r="D26" s="35">
        <v>4200</v>
      </c>
      <c r="E26" s="36"/>
    </row>
    <row r="27" spans="1:6" x14ac:dyDescent="0.3">
      <c r="A27" s="37"/>
      <c r="B27" s="28"/>
      <c r="C27" s="28" t="s">
        <v>62</v>
      </c>
      <c r="D27" s="28"/>
      <c r="E27" s="38">
        <f>D26</f>
        <v>4200</v>
      </c>
    </row>
    <row r="28" spans="1:6" ht="15" thickBot="1" x14ac:dyDescent="0.35">
      <c r="A28" s="4"/>
      <c r="C28" s="1"/>
      <c r="D28" s="41">
        <f>SUM(D4:D27)</f>
        <v>35640</v>
      </c>
      <c r="E28" s="42">
        <f>SUM(E4:E27)</f>
        <v>35640</v>
      </c>
    </row>
    <row r="29" spans="1:6" ht="15" thickTop="1" x14ac:dyDescent="0.3">
      <c r="A29" s="5"/>
      <c r="B29" s="2"/>
      <c r="C29" s="2"/>
      <c r="D29" s="2"/>
      <c r="E29" s="43"/>
    </row>
    <row r="33" spans="6:6" x14ac:dyDescent="0.3">
      <c r="F33" s="49"/>
    </row>
    <row r="36" spans="6:6" x14ac:dyDescent="0.3">
      <c r="F36" s="49"/>
    </row>
    <row r="39" spans="6:6" x14ac:dyDescent="0.3">
      <c r="F39" s="49"/>
    </row>
    <row r="41" spans="6:6" x14ac:dyDescent="0.3">
      <c r="F41" s="49"/>
    </row>
  </sheetData>
  <pageMargins left="0.7" right="0.7" top="0.75" bottom="0.75" header="0.3" footer="0.3"/>
  <pageSetup orientation="portrait" horizontalDpi="4294967295" verticalDpi="4294967295"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56BFB-01E0-412E-9FFD-DEBF0E3CCF19}">
  <dimension ref="A1:AF69"/>
  <sheetViews>
    <sheetView topLeftCell="O1" zoomScale="90" zoomScaleNormal="90" workbookViewId="0">
      <selection activeCell="AC15" sqref="AC15"/>
    </sheetView>
  </sheetViews>
  <sheetFormatPr defaultColWidth="8.88671875" defaultRowHeight="14.4" x14ac:dyDescent="0.3"/>
  <cols>
    <col min="1" max="1" width="4.6640625" style="58" customWidth="1"/>
    <col min="2" max="2" width="36.77734375" style="58" customWidth="1"/>
    <col min="3" max="3" width="13.44140625" style="1" bestFit="1" customWidth="1"/>
    <col min="4" max="4" width="11" style="1" customWidth="1"/>
    <col min="5" max="5" width="7.6640625" style="58" customWidth="1"/>
    <col min="6" max="7" width="11" style="58" customWidth="1"/>
    <col min="8" max="8" width="11" style="1" customWidth="1"/>
    <col min="9" max="9" width="10.44140625" style="1" bestFit="1" customWidth="1"/>
    <col min="10" max="10" width="7.6640625" style="58" customWidth="1"/>
    <col min="11" max="12" width="11" style="58" customWidth="1"/>
    <col min="13" max="13" width="11" style="1" customWidth="1"/>
    <col min="14" max="14" width="10.44140625" style="1" bestFit="1" customWidth="1"/>
    <col min="15" max="15" width="5.33203125" style="1" customWidth="1"/>
    <col min="16" max="16" width="4.6640625" style="1" customWidth="1"/>
    <col min="17" max="17" width="29.77734375" style="1" customWidth="1"/>
    <col min="18" max="18" width="10.44140625" style="1" customWidth="1"/>
    <col min="19" max="19" width="3.21875" style="1" customWidth="1"/>
    <col min="20" max="20" width="16.5546875" style="1" bestFit="1" customWidth="1"/>
    <col min="21" max="21" width="9.77734375" style="1" customWidth="1"/>
    <col min="22" max="22" width="1.77734375" style="1" customWidth="1"/>
    <col min="23" max="23" width="9.77734375" style="1" customWidth="1"/>
    <col min="24" max="24" width="1.6640625" style="1" customWidth="1"/>
    <col min="25" max="25" width="10.88671875" style="1" bestFit="1" customWidth="1"/>
    <col min="26" max="26" width="1.21875" style="1" customWidth="1"/>
    <col min="27" max="27" width="10.88671875" style="1" bestFit="1" customWidth="1"/>
    <col min="28" max="28" width="2.88671875" style="1" customWidth="1"/>
    <col min="29" max="29" width="3.5546875" style="1" customWidth="1"/>
    <col min="30" max="30" width="36.21875" style="1" customWidth="1"/>
    <col min="31" max="31" width="13.5546875" style="1" customWidth="1"/>
    <col min="32" max="16384" width="8.88671875" style="1"/>
  </cols>
  <sheetData>
    <row r="1" spans="1:31" ht="18" x14ac:dyDescent="0.35">
      <c r="A1" s="67" t="s">
        <v>226</v>
      </c>
      <c r="B1" s="67"/>
      <c r="P1" s="67"/>
    </row>
    <row r="2" spans="1:31" x14ac:dyDescent="0.3">
      <c r="A2" s="6" t="s">
        <v>26</v>
      </c>
      <c r="B2" s="6"/>
      <c r="C2" s="7"/>
      <c r="D2" s="7"/>
      <c r="E2" s="83"/>
      <c r="F2" s="83"/>
      <c r="G2" s="83"/>
      <c r="H2" s="7"/>
      <c r="I2" s="7"/>
      <c r="J2" s="229" t="s">
        <v>28</v>
      </c>
      <c r="K2" s="230"/>
      <c r="L2" s="230"/>
      <c r="M2" s="231"/>
      <c r="N2" s="231"/>
      <c r="P2" s="6" t="s">
        <v>27</v>
      </c>
      <c r="Q2" s="7"/>
      <c r="R2" s="7"/>
      <c r="S2" s="7"/>
      <c r="T2" s="7"/>
      <c r="U2" s="7"/>
      <c r="V2" s="7"/>
      <c r="W2" s="7"/>
      <c r="X2" s="7"/>
      <c r="Y2" s="7"/>
      <c r="Z2" s="7"/>
      <c r="AA2" s="7"/>
      <c r="AB2" s="7"/>
      <c r="AC2" s="7"/>
      <c r="AD2" s="7"/>
      <c r="AE2" s="7"/>
    </row>
    <row r="3" spans="1:31" ht="27" customHeight="1" x14ac:dyDescent="0.3">
      <c r="A3" s="307" t="s">
        <v>82</v>
      </c>
      <c r="B3" s="308"/>
      <c r="C3" s="311" t="s">
        <v>220</v>
      </c>
      <c r="D3" s="312"/>
      <c r="E3" s="317" t="s">
        <v>81</v>
      </c>
      <c r="F3" s="318"/>
      <c r="G3" s="319"/>
      <c r="H3" s="313" t="s">
        <v>125</v>
      </c>
      <c r="I3" s="312"/>
      <c r="J3" s="317" t="s">
        <v>126</v>
      </c>
      <c r="K3" s="318"/>
      <c r="L3" s="319"/>
      <c r="M3" s="313" t="s">
        <v>195</v>
      </c>
      <c r="N3" s="312"/>
      <c r="P3" s="314" t="s">
        <v>222</v>
      </c>
      <c r="Q3" s="315"/>
      <c r="R3" s="316"/>
      <c r="T3" s="314" t="str">
        <f>P3</f>
        <v xml:space="preserve">Hunt3X Coporation </v>
      </c>
      <c r="U3" s="315"/>
      <c r="V3" s="315"/>
      <c r="W3" s="315"/>
      <c r="X3" s="315"/>
      <c r="Y3" s="315"/>
      <c r="Z3" s="315"/>
      <c r="AA3" s="316"/>
      <c r="AC3" s="314" t="str">
        <f>T3</f>
        <v xml:space="preserve">Hunt3X Coporation </v>
      </c>
      <c r="AD3" s="315"/>
      <c r="AE3" s="316"/>
    </row>
    <row r="4" spans="1:31" ht="15.6" customHeight="1" x14ac:dyDescent="0.3">
      <c r="A4" s="309"/>
      <c r="B4" s="310"/>
      <c r="C4" s="82" t="s">
        <v>14</v>
      </c>
      <c r="D4" s="81" t="s">
        <v>15</v>
      </c>
      <c r="E4" s="84" t="s">
        <v>47</v>
      </c>
      <c r="F4" s="84" t="s">
        <v>14</v>
      </c>
      <c r="G4" s="85" t="s">
        <v>15</v>
      </c>
      <c r="H4" s="80" t="s">
        <v>14</v>
      </c>
      <c r="I4" s="81" t="s">
        <v>15</v>
      </c>
      <c r="J4" s="84" t="s">
        <v>47</v>
      </c>
      <c r="K4" s="84" t="s">
        <v>14</v>
      </c>
      <c r="L4" s="85" t="s">
        <v>15</v>
      </c>
      <c r="M4" s="80" t="s">
        <v>14</v>
      </c>
      <c r="N4" s="81" t="s">
        <v>15</v>
      </c>
      <c r="P4" s="320" t="s">
        <v>48</v>
      </c>
      <c r="Q4" s="321"/>
      <c r="R4" s="322"/>
      <c r="T4" s="320" t="s">
        <v>49</v>
      </c>
      <c r="U4" s="321"/>
      <c r="V4" s="321"/>
      <c r="W4" s="321"/>
      <c r="X4" s="321"/>
      <c r="Y4" s="321"/>
      <c r="Z4" s="321"/>
      <c r="AA4" s="322"/>
      <c r="AC4" s="320" t="s">
        <v>50</v>
      </c>
      <c r="AD4" s="321"/>
      <c r="AE4" s="322"/>
    </row>
    <row r="5" spans="1:31" x14ac:dyDescent="0.3">
      <c r="A5" s="37" t="str">
        <f>'TB @ 30 Sept 2025'!A3</f>
        <v>Cash</v>
      </c>
      <c r="B5" s="36"/>
      <c r="C5" s="46">
        <f>'Tutorial 2 Sol'!T6</f>
        <v>359516</v>
      </c>
      <c r="D5" s="47"/>
      <c r="E5" s="48"/>
      <c r="F5" s="49"/>
      <c r="G5" s="54"/>
      <c r="H5" s="35">
        <f t="shared" ref="H5:H10" si="0">C5+F5-G5</f>
        <v>359516</v>
      </c>
      <c r="I5" s="36"/>
      <c r="J5" s="48"/>
      <c r="K5" s="49"/>
      <c r="L5" s="54"/>
      <c r="M5" s="35">
        <f t="shared" ref="M5:M10" si="1">H5+K5-L5</f>
        <v>359516</v>
      </c>
      <c r="N5" s="36"/>
      <c r="P5" s="323" t="s">
        <v>223</v>
      </c>
      <c r="Q5" s="324"/>
      <c r="R5" s="325"/>
      <c r="T5" s="323" t="str">
        <f>P5</f>
        <v>For the Year Ended 31 December 2025</v>
      </c>
      <c r="U5" s="324"/>
      <c r="V5" s="324"/>
      <c r="W5" s="324"/>
      <c r="X5" s="324"/>
      <c r="Y5" s="324"/>
      <c r="Z5" s="324"/>
      <c r="AA5" s="325"/>
      <c r="AC5" s="323" t="s">
        <v>224</v>
      </c>
      <c r="AD5" s="324"/>
      <c r="AE5" s="325"/>
    </row>
    <row r="6" spans="1:31" x14ac:dyDescent="0.3">
      <c r="A6" s="37" t="str">
        <f>'TB @ 30 Sept 2025'!A4</f>
        <v>Accounts Receivable</v>
      </c>
      <c r="B6" s="36"/>
      <c r="C6" s="46">
        <f>'Tutorial 2 Sol'!T16</f>
        <v>33800</v>
      </c>
      <c r="D6" s="47"/>
      <c r="E6" s="86"/>
      <c r="G6" s="54"/>
      <c r="H6" s="35">
        <f t="shared" si="0"/>
        <v>33800</v>
      </c>
      <c r="I6" s="36"/>
      <c r="J6" s="86"/>
      <c r="L6" s="54"/>
      <c r="M6" s="35">
        <f t="shared" si="1"/>
        <v>33800</v>
      </c>
      <c r="N6" s="36"/>
      <c r="P6" s="4"/>
      <c r="R6" s="47"/>
      <c r="T6" s="4"/>
      <c r="AA6" s="32"/>
      <c r="AC6" s="37"/>
      <c r="AE6" s="87"/>
    </row>
    <row r="7" spans="1:31" x14ac:dyDescent="0.3">
      <c r="A7" s="37" t="str">
        <f>'TB @ 30 Sept 2025'!A5</f>
        <v>Prepaid Rent</v>
      </c>
      <c r="B7" s="36"/>
      <c r="C7" s="46">
        <f>'Tutorial 2 Sol'!T18</f>
        <v>19800</v>
      </c>
      <c r="D7" s="47"/>
      <c r="E7" s="48" t="str">
        <f>'Tutorial 3 Sol'!A5</f>
        <v>(a)</v>
      </c>
      <c r="F7" s="49"/>
      <c r="G7" s="54">
        <f>'Tutorial 3 Sol'!E6</f>
        <v>6600</v>
      </c>
      <c r="H7" s="35">
        <f t="shared" si="0"/>
        <v>13200</v>
      </c>
      <c r="I7" s="36"/>
      <c r="J7" s="48"/>
      <c r="K7" s="49"/>
      <c r="L7" s="54"/>
      <c r="M7" s="35">
        <f t="shared" si="1"/>
        <v>13200</v>
      </c>
      <c r="N7" s="36"/>
      <c r="P7" s="4"/>
      <c r="Q7" s="1" t="s">
        <v>51</v>
      </c>
      <c r="R7" s="235">
        <f>I22</f>
        <v>315550</v>
      </c>
      <c r="T7" s="4"/>
      <c r="U7" s="31" t="s">
        <v>198</v>
      </c>
      <c r="V7" s="31"/>
      <c r="W7" s="31" t="s">
        <v>202</v>
      </c>
      <c r="X7" s="31"/>
      <c r="Y7" s="31" t="s">
        <v>52</v>
      </c>
      <c r="Z7" s="31"/>
      <c r="AA7" s="88" t="s">
        <v>53</v>
      </c>
      <c r="AC7" s="37" t="s">
        <v>9</v>
      </c>
      <c r="AE7" s="47"/>
    </row>
    <row r="8" spans="1:31" x14ac:dyDescent="0.3">
      <c r="A8" s="37" t="s">
        <v>219</v>
      </c>
      <c r="B8" s="36"/>
      <c r="C8" s="46">
        <v>0</v>
      </c>
      <c r="D8" s="47"/>
      <c r="E8" s="48" t="str">
        <f>'Tutorial 3 Sol'!A23</f>
        <v>(f)</v>
      </c>
      <c r="F8" s="49">
        <f>'Tutorial 3 Sol'!D23</f>
        <v>2200</v>
      </c>
      <c r="G8" s="54"/>
      <c r="H8" s="35">
        <f t="shared" si="0"/>
        <v>2200</v>
      </c>
      <c r="I8" s="36"/>
      <c r="J8" s="48"/>
      <c r="K8" s="49"/>
      <c r="L8" s="54"/>
      <c r="M8" s="35">
        <f t="shared" si="1"/>
        <v>2200</v>
      </c>
      <c r="N8" s="36"/>
      <c r="P8" s="4"/>
      <c r="Q8" s="1" t="str">
        <f>A23</f>
        <v>Cost of Goods Sold</v>
      </c>
      <c r="R8" s="236">
        <f>-H23</f>
        <v>-113934</v>
      </c>
      <c r="T8" s="4"/>
      <c r="U8" s="89" t="s">
        <v>199</v>
      </c>
      <c r="V8" s="31"/>
      <c r="W8" s="89" t="s">
        <v>199</v>
      </c>
      <c r="X8" s="31"/>
      <c r="Y8" s="89" t="s">
        <v>54</v>
      </c>
      <c r="Z8" s="31"/>
      <c r="AA8" s="90" t="s">
        <v>13</v>
      </c>
      <c r="AC8" s="4" t="s">
        <v>55</v>
      </c>
      <c r="AE8" s="88"/>
    </row>
    <row r="9" spans="1:31" ht="15" thickBot="1" x14ac:dyDescent="0.35">
      <c r="A9" s="37" t="str">
        <f>'TB @ 30 Sept 2025'!A6</f>
        <v>Inventory</v>
      </c>
      <c r="B9" s="36"/>
      <c r="C9" s="46">
        <f>'Tutorial 2 Sol'!T19</f>
        <v>118280</v>
      </c>
      <c r="D9" s="47"/>
      <c r="E9" s="48" t="str">
        <f>'Tutorial 3 Sol'!A8</f>
        <v>(b)</v>
      </c>
      <c r="F9" s="49"/>
      <c r="G9" s="54">
        <f>'Tutorial 3 Sol'!E12</f>
        <v>2540</v>
      </c>
      <c r="H9" s="35">
        <f t="shared" si="0"/>
        <v>115740</v>
      </c>
      <c r="I9" s="38"/>
      <c r="J9" s="48"/>
      <c r="K9" s="49"/>
      <c r="L9" s="54"/>
      <c r="M9" s="35">
        <f t="shared" si="1"/>
        <v>115740</v>
      </c>
      <c r="N9" s="38"/>
      <c r="P9" s="4" t="s">
        <v>56</v>
      </c>
      <c r="R9" s="235">
        <f>SUM(R7:R8)</f>
        <v>201616</v>
      </c>
      <c r="T9" s="4" t="s">
        <v>57</v>
      </c>
      <c r="U9" s="91">
        <f>'TB @ 30 Sept 2025'!C10</f>
        <v>200000</v>
      </c>
      <c r="V9" s="92"/>
      <c r="W9" s="91">
        <f>'TB @ 30 Sept 2025'!C11</f>
        <v>200000</v>
      </c>
      <c r="X9" s="92"/>
      <c r="Y9" s="91">
        <f>I21</f>
        <v>5230</v>
      </c>
      <c r="Z9" s="92"/>
      <c r="AA9" s="93">
        <f>SUM(U9:Y9)</f>
        <v>405230</v>
      </c>
      <c r="AC9" s="4"/>
      <c r="AD9" s="1" t="str">
        <f>A5</f>
        <v>Cash</v>
      </c>
      <c r="AE9" s="235">
        <f>H5</f>
        <v>359516</v>
      </c>
    </row>
    <row r="10" spans="1:31" ht="13.5" customHeight="1" x14ac:dyDescent="0.3">
      <c r="A10" s="37" t="str">
        <f>'Tutorial 2 Sol'!N21</f>
        <v>Property Plant and Equipment (PPE)</v>
      </c>
      <c r="B10" s="36"/>
      <c r="C10" s="46">
        <f>'Tutorial 2 Sol'!T21</f>
        <v>300000</v>
      </c>
      <c r="D10" s="47"/>
      <c r="E10" s="48"/>
      <c r="F10" s="49"/>
      <c r="G10" s="54"/>
      <c r="H10" s="35">
        <f t="shared" si="0"/>
        <v>300000</v>
      </c>
      <c r="I10" s="36"/>
      <c r="J10" s="48"/>
      <c r="K10" s="49"/>
      <c r="L10" s="54"/>
      <c r="M10" s="35">
        <f t="shared" si="1"/>
        <v>300000</v>
      </c>
      <c r="N10" s="36"/>
      <c r="P10" s="4"/>
      <c r="Q10" s="1" t="str">
        <f>'Tutorial 4 Sol'!A24</f>
        <v>Rent Expense</v>
      </c>
      <c r="R10" s="235">
        <f t="shared" ref="R10:R15" si="2">-H24</f>
        <v>-13200</v>
      </c>
      <c r="T10" s="4" t="s">
        <v>58</v>
      </c>
      <c r="U10" s="238">
        <f>'Tutorial 2 Sol'!S27</f>
        <v>250000</v>
      </c>
      <c r="V10" s="238"/>
      <c r="W10" s="238"/>
      <c r="X10" s="238"/>
      <c r="Y10" s="238"/>
      <c r="Z10" s="238"/>
      <c r="AA10" s="239">
        <f>U10</f>
        <v>250000</v>
      </c>
      <c r="AC10" s="4"/>
      <c r="AD10" s="1" t="str">
        <f>A6</f>
        <v>Accounts Receivable</v>
      </c>
      <c r="AE10" s="235">
        <f>H6</f>
        <v>33800</v>
      </c>
    </row>
    <row r="11" spans="1:31" x14ac:dyDescent="0.3">
      <c r="A11" s="37" t="s">
        <v>197</v>
      </c>
      <c r="B11" s="36"/>
      <c r="C11" s="55"/>
      <c r="D11" s="56">
        <v>0</v>
      </c>
      <c r="E11" s="57" t="str">
        <f>'Tutorial 3 Sol'!A20</f>
        <v xml:space="preserve">(e) </v>
      </c>
      <c r="G11" s="54">
        <f>'Tutorial 3 Sol'!E21</f>
        <v>8200</v>
      </c>
      <c r="H11" s="35"/>
      <c r="I11" s="38">
        <f t="shared" ref="I11:I17" si="3">D11+G11-F11</f>
        <v>8200</v>
      </c>
      <c r="J11" s="57"/>
      <c r="L11" s="54"/>
      <c r="M11" s="35"/>
      <c r="N11" s="38">
        <f>I11+L11-K11</f>
        <v>8200</v>
      </c>
      <c r="P11" s="4"/>
      <c r="Q11" s="1" t="str">
        <f>'Tutorial 4 Sol'!A25</f>
        <v>Marketing Expense</v>
      </c>
      <c r="R11" s="235">
        <f t="shared" si="2"/>
        <v>-18500</v>
      </c>
      <c r="T11" s="4" t="s">
        <v>59</v>
      </c>
      <c r="U11" s="238"/>
      <c r="V11" s="238"/>
      <c r="W11" s="238"/>
      <c r="X11" s="238"/>
      <c r="Y11" s="238">
        <f>R20</f>
        <v>43076</v>
      </c>
      <c r="Z11" s="238"/>
      <c r="AA11" s="239">
        <f>SUM(U11:Y11)</f>
        <v>43076</v>
      </c>
      <c r="AC11" s="4"/>
      <c r="AD11" s="1" t="str">
        <f>A7</f>
        <v>Prepaid Rent</v>
      </c>
      <c r="AE11" s="235">
        <f>H7</f>
        <v>13200</v>
      </c>
    </row>
    <row r="12" spans="1:31" ht="15" thickBot="1" x14ac:dyDescent="0.35">
      <c r="A12" s="37" t="str">
        <f>'TB @ 30 Sept 2025'!A7</f>
        <v>Accounts Payable</v>
      </c>
      <c r="B12" s="36"/>
      <c r="C12" s="55"/>
      <c r="D12" s="56">
        <f>'Tutorial 2 Sol'!U22</f>
        <v>16850</v>
      </c>
      <c r="E12" s="57"/>
      <c r="G12" s="54"/>
      <c r="H12" s="28"/>
      <c r="I12" s="38">
        <f t="shared" si="3"/>
        <v>16850</v>
      </c>
      <c r="J12" s="57"/>
      <c r="L12" s="54"/>
      <c r="M12" s="28"/>
      <c r="N12" s="38">
        <f t="shared" ref="N12:N22" si="4">I12+L12-K12</f>
        <v>16850</v>
      </c>
      <c r="P12" s="4"/>
      <c r="Q12" s="1" t="str">
        <f>'Tutorial 4 Sol'!A26</f>
        <v>Salaries Expense</v>
      </c>
      <c r="R12" s="235">
        <f t="shared" si="2"/>
        <v>-89400</v>
      </c>
      <c r="T12" s="4" t="s">
        <v>60</v>
      </c>
      <c r="U12" s="91">
        <f>SUM(U9:U11)</f>
        <v>450000</v>
      </c>
      <c r="V12" s="92"/>
      <c r="W12" s="91">
        <f>SUM(W9:W11)</f>
        <v>200000</v>
      </c>
      <c r="X12" s="92"/>
      <c r="Y12" s="91">
        <f>SUM(Y9:Y11)</f>
        <v>48306</v>
      </c>
      <c r="Z12" s="92"/>
      <c r="AA12" s="93">
        <f>SUM(AA9:AA11)</f>
        <v>698306</v>
      </c>
      <c r="AC12" s="4"/>
      <c r="AD12" s="1" t="str">
        <f>A8</f>
        <v>Prepaid Salaries</v>
      </c>
      <c r="AE12" s="235">
        <f>H8</f>
        <v>2200</v>
      </c>
    </row>
    <row r="13" spans="1:31" x14ac:dyDescent="0.3">
      <c r="A13" s="37" t="s">
        <v>44</v>
      </c>
      <c r="B13" s="36"/>
      <c r="C13" s="55"/>
      <c r="D13" s="56">
        <f>'Tutorial 2 Sol'!U24</f>
        <v>19500</v>
      </c>
      <c r="E13" s="57" t="str">
        <f>'Tutorial 3 Sol'!A8</f>
        <v>(b)</v>
      </c>
      <c r="F13" s="49">
        <f>'Tutorial 3 Sol'!D8</f>
        <v>7250</v>
      </c>
      <c r="G13" s="54"/>
      <c r="H13" s="28"/>
      <c r="I13" s="38">
        <f t="shared" si="3"/>
        <v>12250</v>
      </c>
      <c r="J13" s="57"/>
      <c r="K13" s="49"/>
      <c r="L13" s="54"/>
      <c r="M13" s="28"/>
      <c r="N13" s="38">
        <f t="shared" si="4"/>
        <v>12250</v>
      </c>
      <c r="P13" s="4"/>
      <c r="Q13" s="1" t="str">
        <f>'Tutorial 4 Sol'!A27</f>
        <v>General Admin Expense</v>
      </c>
      <c r="R13" s="235">
        <f t="shared" si="2"/>
        <v>-20390</v>
      </c>
      <c r="T13" s="5"/>
      <c r="U13" s="2"/>
      <c r="V13" s="2"/>
      <c r="W13" s="2"/>
      <c r="X13" s="2"/>
      <c r="Y13" s="2"/>
      <c r="Z13" s="2"/>
      <c r="AA13" s="43"/>
      <c r="AC13" s="4"/>
      <c r="AD13" s="1" t="str">
        <f>A9</f>
        <v>Inventory</v>
      </c>
      <c r="AE13" s="236">
        <f>H9</f>
        <v>115740</v>
      </c>
    </row>
    <row r="14" spans="1:31" x14ac:dyDescent="0.3">
      <c r="A14" s="37" t="s">
        <v>218</v>
      </c>
      <c r="B14" s="36"/>
      <c r="C14" s="55"/>
      <c r="D14" s="56">
        <v>0</v>
      </c>
      <c r="E14" s="57" t="str">
        <f>'Tutorial 3 Sol'!A17</f>
        <v>(d)</v>
      </c>
      <c r="F14" s="49"/>
      <c r="G14" s="54">
        <f>'Tutorial 3 Sol'!E18</f>
        <v>1800</v>
      </c>
      <c r="H14" s="28"/>
      <c r="I14" s="38">
        <f t="shared" si="3"/>
        <v>1800</v>
      </c>
      <c r="J14" s="57"/>
      <c r="K14" s="49"/>
      <c r="L14" s="54"/>
      <c r="M14" s="28"/>
      <c r="N14" s="38">
        <f t="shared" si="4"/>
        <v>1800</v>
      </c>
      <c r="P14" s="4"/>
      <c r="Q14" s="1" t="str">
        <f>'Tutorial 4 Sol'!A28</f>
        <v xml:space="preserve">Consulting Fees </v>
      </c>
      <c r="R14" s="235">
        <f t="shared" si="2"/>
        <v>-1800</v>
      </c>
      <c r="AC14" s="4"/>
      <c r="AD14" s="1" t="s">
        <v>61</v>
      </c>
      <c r="AE14" s="235">
        <f>SUM(AE9:AE13)</f>
        <v>524456</v>
      </c>
    </row>
    <row r="15" spans="1:31" x14ac:dyDescent="0.3">
      <c r="A15" s="37" t="s">
        <v>42</v>
      </c>
      <c r="B15" s="36"/>
      <c r="C15" s="55"/>
      <c r="D15" s="56">
        <v>0</v>
      </c>
      <c r="E15" s="57" t="str">
        <f>E30</f>
        <v xml:space="preserve">(c) </v>
      </c>
      <c r="F15" s="49"/>
      <c r="G15" s="54">
        <f>'Tutorial 3 Sol'!E15</f>
        <v>2850</v>
      </c>
      <c r="H15" s="28"/>
      <c r="I15" s="38">
        <f t="shared" si="3"/>
        <v>2850</v>
      </c>
      <c r="J15" s="57"/>
      <c r="K15" s="49"/>
      <c r="L15" s="54"/>
      <c r="M15" s="28"/>
      <c r="N15" s="38">
        <f t="shared" si="4"/>
        <v>2850</v>
      </c>
      <c r="P15" s="4"/>
      <c r="Q15" s="1" t="str">
        <f>'Tutorial 4 Sol'!A29</f>
        <v>Depreciation Expense</v>
      </c>
      <c r="R15" s="236">
        <f t="shared" si="2"/>
        <v>-8200</v>
      </c>
      <c r="AC15" s="4" t="s">
        <v>310</v>
      </c>
      <c r="AE15" s="235"/>
    </row>
    <row r="16" spans="1:31" x14ac:dyDescent="0.3">
      <c r="A16" s="37" t="s">
        <v>62</v>
      </c>
      <c r="B16" s="36"/>
      <c r="C16" s="55"/>
      <c r="D16" s="56">
        <v>0</v>
      </c>
      <c r="E16" s="57" t="str">
        <f>'Tutorial 3 Sol'!A26</f>
        <v>(g)</v>
      </c>
      <c r="F16" s="49"/>
      <c r="G16" s="54">
        <f>'Tutorial 3 Sol'!E27</f>
        <v>4200</v>
      </c>
      <c r="H16" s="28"/>
      <c r="I16" s="38">
        <f t="shared" si="3"/>
        <v>4200</v>
      </c>
      <c r="J16" s="57"/>
      <c r="K16" s="49"/>
      <c r="L16" s="54"/>
      <c r="M16" s="28"/>
      <c r="N16" s="38">
        <f t="shared" si="4"/>
        <v>4200</v>
      </c>
      <c r="P16" s="4" t="s">
        <v>63</v>
      </c>
      <c r="R16" s="235">
        <f>SUM(R9:R15)</f>
        <v>50126</v>
      </c>
      <c r="AC16" s="4"/>
      <c r="AD16" s="1" t="s">
        <v>3</v>
      </c>
      <c r="AE16" s="235">
        <f>H10-I11</f>
        <v>291800</v>
      </c>
    </row>
    <row r="17" spans="1:32" x14ac:dyDescent="0.3">
      <c r="A17" s="37" t="str">
        <f>'Tutorial 2 Sol'!N25</f>
        <v>Short Term Notes Payable</v>
      </c>
      <c r="B17" s="36"/>
      <c r="C17" s="55"/>
      <c r="D17" s="56">
        <f>'Tutorial 2 Sol'!U25</f>
        <v>30000</v>
      </c>
      <c r="E17" s="57"/>
      <c r="F17" s="49"/>
      <c r="G17" s="54"/>
      <c r="H17" s="28"/>
      <c r="I17" s="38">
        <f t="shared" si="3"/>
        <v>30000</v>
      </c>
      <c r="J17" s="57"/>
      <c r="K17" s="49"/>
      <c r="L17" s="54"/>
      <c r="M17" s="28"/>
      <c r="N17" s="38">
        <f t="shared" si="4"/>
        <v>30000</v>
      </c>
      <c r="P17" s="4"/>
      <c r="Q17" s="1" t="str">
        <f>A30</f>
        <v>Interest Expense</v>
      </c>
      <c r="R17" s="236">
        <f>-H30</f>
        <v>-2850</v>
      </c>
      <c r="AC17" s="4"/>
      <c r="AD17" s="1" t="s">
        <v>64</v>
      </c>
      <c r="AE17" s="243">
        <f>SUM(AE16:AE16)</f>
        <v>291800</v>
      </c>
    </row>
    <row r="18" spans="1:32" x14ac:dyDescent="0.3">
      <c r="A18" s="37" t="str">
        <f>'TB @ 30 Sept 2025'!A9</f>
        <v>Long-term Debt</v>
      </c>
      <c r="B18" s="36"/>
      <c r="C18" s="55"/>
      <c r="D18" s="56">
        <f>'Tutorial 2 Sol'!U26</f>
        <v>50000</v>
      </c>
      <c r="E18" s="57"/>
      <c r="G18" s="50"/>
      <c r="H18" s="35"/>
      <c r="I18" s="38">
        <f t="shared" ref="I18:I22" si="5">D18+G18-F18</f>
        <v>50000</v>
      </c>
      <c r="J18" s="57"/>
      <c r="L18" s="50"/>
      <c r="M18" s="35"/>
      <c r="N18" s="38">
        <f t="shared" si="4"/>
        <v>50000</v>
      </c>
      <c r="P18" s="4" t="s">
        <v>65</v>
      </c>
      <c r="R18" s="235">
        <f>SUM(R16:R17)</f>
        <v>47276</v>
      </c>
      <c r="AC18" s="37" t="s">
        <v>10</v>
      </c>
      <c r="AE18" s="237">
        <f>AE17+AE14</f>
        <v>816256</v>
      </c>
    </row>
    <row r="19" spans="1:32" x14ac:dyDescent="0.3">
      <c r="A19" s="37" t="str">
        <f>'TB @ 30 Sept 2025'!A10</f>
        <v>Share Capital - Ordinary Shares</v>
      </c>
      <c r="B19" s="36"/>
      <c r="C19" s="55"/>
      <c r="D19" s="56">
        <f>'Tutorial 2 Sol'!U27</f>
        <v>450000</v>
      </c>
      <c r="E19" s="57"/>
      <c r="G19" s="50"/>
      <c r="H19" s="28"/>
      <c r="I19" s="38">
        <f t="shared" si="5"/>
        <v>450000</v>
      </c>
      <c r="J19" s="57"/>
      <c r="L19" s="50"/>
      <c r="M19" s="28"/>
      <c r="N19" s="38">
        <f t="shared" si="4"/>
        <v>450000</v>
      </c>
      <c r="P19" s="4"/>
      <c r="Q19" s="1" t="str">
        <f>A31</f>
        <v>Income Tax Expense</v>
      </c>
      <c r="R19" s="236">
        <f>-H31</f>
        <v>-4200</v>
      </c>
      <c r="AC19" s="4"/>
      <c r="AE19" s="235"/>
      <c r="AF19" s="49"/>
    </row>
    <row r="20" spans="1:32" x14ac:dyDescent="0.3">
      <c r="A20" s="37" t="str">
        <f>'TB @ 30 Sept 2025'!A11</f>
        <v>Share Capital - Preference Shares (cumulative)</v>
      </c>
      <c r="B20" s="36"/>
      <c r="C20" s="55"/>
      <c r="D20" s="56">
        <f>'Tutorial 2 Sol'!U28</f>
        <v>200000</v>
      </c>
      <c r="E20" s="57"/>
      <c r="G20" s="50"/>
      <c r="H20" s="28"/>
      <c r="I20" s="38">
        <f t="shared" si="5"/>
        <v>200000</v>
      </c>
      <c r="J20" s="57"/>
      <c r="L20" s="50"/>
      <c r="M20" s="28"/>
      <c r="N20" s="38">
        <f t="shared" si="4"/>
        <v>200000</v>
      </c>
      <c r="O20" s="53"/>
      <c r="P20" s="59" t="s">
        <v>59</v>
      </c>
      <c r="Q20" s="2"/>
      <c r="R20" s="237">
        <f>SUM(R18:R19)</f>
        <v>43076</v>
      </c>
      <c r="AC20" s="37" t="s">
        <v>11</v>
      </c>
      <c r="AE20" s="235"/>
    </row>
    <row r="21" spans="1:32" x14ac:dyDescent="0.3">
      <c r="A21" s="37" t="s">
        <v>69</v>
      </c>
      <c r="B21" s="36"/>
      <c r="C21" s="46"/>
      <c r="D21" s="56">
        <f>'Tutorial 2 Sol'!U29</f>
        <v>5230</v>
      </c>
      <c r="E21" s="57"/>
      <c r="G21" s="50"/>
      <c r="H21" s="35"/>
      <c r="I21" s="38">
        <f t="shared" si="5"/>
        <v>5230</v>
      </c>
      <c r="J21" s="57" t="s">
        <v>127</v>
      </c>
      <c r="L21" s="54">
        <f>D47</f>
        <v>43076</v>
      </c>
      <c r="M21" s="28"/>
      <c r="N21" s="38">
        <f>I21+L21-K21</f>
        <v>48306</v>
      </c>
      <c r="R21" s="249"/>
      <c r="AC21" s="4" t="s">
        <v>66</v>
      </c>
      <c r="AE21" s="235"/>
    </row>
    <row r="22" spans="1:32" x14ac:dyDescent="0.3">
      <c r="A22" s="37" t="str">
        <f>'TB @ 30 Sept 2025'!A13</f>
        <v>Sales Revenue</v>
      </c>
      <c r="B22" s="36"/>
      <c r="C22" s="55"/>
      <c r="D22" s="56">
        <f>'Tutorial 2 Sol'!U30</f>
        <v>308300</v>
      </c>
      <c r="E22" s="57" t="str">
        <f>E13</f>
        <v>(b)</v>
      </c>
      <c r="F22" s="49"/>
      <c r="G22" s="54">
        <f>F13</f>
        <v>7250</v>
      </c>
      <c r="H22" s="28"/>
      <c r="I22" s="38">
        <f t="shared" si="5"/>
        <v>315550</v>
      </c>
      <c r="J22" s="57" t="s">
        <v>127</v>
      </c>
      <c r="K22" s="49">
        <f>C37</f>
        <v>315550</v>
      </c>
      <c r="L22" s="54"/>
      <c r="M22" s="28"/>
      <c r="N22" s="38">
        <f t="shared" si="4"/>
        <v>0</v>
      </c>
      <c r="P22" s="58" t="s">
        <v>309</v>
      </c>
      <c r="R22" s="49">
        <f>I22-SUM(H23:H31)</f>
        <v>43076</v>
      </c>
      <c r="AC22" s="37"/>
      <c r="AD22" s="1" t="str">
        <f>A12</f>
        <v>Accounts Payable</v>
      </c>
      <c r="AE22" s="235">
        <f>I12</f>
        <v>16850</v>
      </c>
    </row>
    <row r="23" spans="1:32" x14ac:dyDescent="0.3">
      <c r="A23" s="37" t="str">
        <f>'TB @ 30 Sept 2025'!A14</f>
        <v>Cost of Goods Sold</v>
      </c>
      <c r="B23" s="36"/>
      <c r="C23" s="46">
        <f>'Tutorial 2 Sol'!T31</f>
        <v>111394</v>
      </c>
      <c r="D23" s="47"/>
      <c r="E23" s="48" t="str">
        <f>'Tutorial 3 Sol'!A8</f>
        <v>(b)</v>
      </c>
      <c r="F23" s="49">
        <f>'Tutorial 3 Sol'!D11</f>
        <v>2540</v>
      </c>
      <c r="G23" s="54"/>
      <c r="H23" s="35">
        <f t="shared" ref="H23:H31" si="6">C23+F23-G23</f>
        <v>113934</v>
      </c>
      <c r="I23" s="38"/>
      <c r="J23" s="57" t="s">
        <v>127</v>
      </c>
      <c r="K23" s="49"/>
      <c r="L23" s="54">
        <f>D38</f>
        <v>113934</v>
      </c>
      <c r="M23" s="35">
        <f t="shared" ref="M23:M31" si="7">H23+K23-L23</f>
        <v>0</v>
      </c>
      <c r="N23" s="38"/>
      <c r="R23" s="147"/>
      <c r="AC23" s="37"/>
      <c r="AD23" s="1" t="str">
        <f>A13</f>
        <v>Unearned Revenue</v>
      </c>
      <c r="AE23" s="235">
        <f>I13</f>
        <v>12250</v>
      </c>
    </row>
    <row r="24" spans="1:32" x14ac:dyDescent="0.3">
      <c r="A24" s="37" t="str">
        <f>'TB @ 30 Sept 2025'!A15</f>
        <v>Rent Expense</v>
      </c>
      <c r="B24" s="36"/>
      <c r="C24" s="46">
        <f>'Tutorial 2 Sol'!T32</f>
        <v>6600</v>
      </c>
      <c r="D24" s="47"/>
      <c r="E24" s="57" t="str">
        <f>E7</f>
        <v>(a)</v>
      </c>
      <c r="F24" s="49">
        <f>G7</f>
        <v>6600</v>
      </c>
      <c r="G24" s="50"/>
      <c r="H24" s="35">
        <f t="shared" si="6"/>
        <v>13200</v>
      </c>
      <c r="I24" s="38"/>
      <c r="J24" s="57" t="s">
        <v>127</v>
      </c>
      <c r="K24" s="49"/>
      <c r="L24" s="54">
        <f t="shared" ref="L24:L31" si="8">D39</f>
        <v>13200</v>
      </c>
      <c r="M24" s="35">
        <f t="shared" si="7"/>
        <v>0</v>
      </c>
      <c r="N24" s="38"/>
      <c r="AC24" s="37"/>
      <c r="AD24" s="1" t="str">
        <f>A14</f>
        <v>Consulting Fees Payable</v>
      </c>
      <c r="AE24" s="235">
        <f>I14</f>
        <v>1800</v>
      </c>
    </row>
    <row r="25" spans="1:32" x14ac:dyDescent="0.3">
      <c r="A25" s="37" t="str">
        <f>'TB @ 30 Sept 2025'!A16</f>
        <v>Marketing Expense</v>
      </c>
      <c r="B25" s="36"/>
      <c r="C25" s="46">
        <f>'Tutorial 2 Sol'!T33</f>
        <v>18500</v>
      </c>
      <c r="D25" s="47"/>
      <c r="E25" s="86"/>
      <c r="F25" s="49"/>
      <c r="G25" s="54"/>
      <c r="H25" s="35">
        <f t="shared" si="6"/>
        <v>18500</v>
      </c>
      <c r="I25" s="38"/>
      <c r="J25" s="57" t="s">
        <v>127</v>
      </c>
      <c r="K25" s="49"/>
      <c r="L25" s="54">
        <f t="shared" si="8"/>
        <v>18500</v>
      </c>
      <c r="M25" s="35">
        <f t="shared" si="7"/>
        <v>0</v>
      </c>
      <c r="N25" s="38"/>
      <c r="AC25" s="37"/>
      <c r="AD25" s="1" t="str">
        <f>A15</f>
        <v>Interest Payable</v>
      </c>
      <c r="AE25" s="235">
        <f>I15</f>
        <v>2850</v>
      </c>
    </row>
    <row r="26" spans="1:32" x14ac:dyDescent="0.3">
      <c r="A26" s="37" t="str">
        <f>'TB @ 30 Sept 2025'!A17</f>
        <v>Salaries Expense</v>
      </c>
      <c r="B26" s="36"/>
      <c r="C26" s="46">
        <f>'Tutorial 2 Sol'!T34</f>
        <v>91600</v>
      </c>
      <c r="D26" s="47"/>
      <c r="E26" s="86" t="str">
        <f>'Tutorial 3 Sol'!A23</f>
        <v>(f)</v>
      </c>
      <c r="F26" s="49"/>
      <c r="G26" s="54">
        <f>'Tutorial 3 Sol'!E24</f>
        <v>2200</v>
      </c>
      <c r="H26" s="35">
        <f t="shared" si="6"/>
        <v>89400</v>
      </c>
      <c r="I26" s="38"/>
      <c r="J26" s="57" t="s">
        <v>127</v>
      </c>
      <c r="K26" s="49"/>
      <c r="L26" s="54">
        <f t="shared" si="8"/>
        <v>89400</v>
      </c>
      <c r="M26" s="35">
        <f t="shared" si="7"/>
        <v>0</v>
      </c>
      <c r="N26" s="38"/>
      <c r="AC26" s="37"/>
      <c r="AD26" s="1" t="str">
        <f>A16</f>
        <v>Taxes Payable</v>
      </c>
      <c r="AE26" s="235">
        <f>I16</f>
        <v>4200</v>
      </c>
    </row>
    <row r="27" spans="1:32" x14ac:dyDescent="0.3">
      <c r="A27" s="37" t="str">
        <f>'Tutorial 2 Sol'!N35</f>
        <v>General Admin Expense</v>
      </c>
      <c r="B27" s="36"/>
      <c r="C27" s="46">
        <f>'Tutorial 2 Sol'!T35</f>
        <v>20390</v>
      </c>
      <c r="D27" s="47"/>
      <c r="E27" s="48"/>
      <c r="F27" s="49"/>
      <c r="G27" s="50"/>
      <c r="H27" s="35">
        <f t="shared" si="6"/>
        <v>20390</v>
      </c>
      <c r="I27" s="38"/>
      <c r="J27" s="57" t="s">
        <v>127</v>
      </c>
      <c r="K27" s="49"/>
      <c r="L27" s="54">
        <f t="shared" si="8"/>
        <v>20390</v>
      </c>
      <c r="M27" s="35">
        <f t="shared" si="7"/>
        <v>0</v>
      </c>
      <c r="N27" s="38"/>
      <c r="AC27" s="37"/>
      <c r="AD27" s="1" t="s">
        <v>225</v>
      </c>
      <c r="AE27" s="235">
        <f>N17</f>
        <v>30000</v>
      </c>
    </row>
    <row r="28" spans="1:32" x14ac:dyDescent="0.3">
      <c r="A28" s="37" t="s">
        <v>221</v>
      </c>
      <c r="B28" s="36"/>
      <c r="C28" s="46">
        <v>0</v>
      </c>
      <c r="D28" s="47"/>
      <c r="E28" s="86" t="str">
        <f>'Tutorial 3 Sol'!A17</f>
        <v>(d)</v>
      </c>
      <c r="F28" s="49">
        <f>'Tutorial 3 Sol'!D17</f>
        <v>1800</v>
      </c>
      <c r="G28" s="50"/>
      <c r="H28" s="35">
        <f t="shared" si="6"/>
        <v>1800</v>
      </c>
      <c r="I28" s="38"/>
      <c r="J28" s="57" t="s">
        <v>127</v>
      </c>
      <c r="K28" s="49"/>
      <c r="L28" s="54">
        <f t="shared" si="8"/>
        <v>1800</v>
      </c>
      <c r="M28" s="35">
        <f t="shared" si="7"/>
        <v>0</v>
      </c>
      <c r="N28" s="38"/>
      <c r="AC28" s="4"/>
      <c r="AD28" s="1" t="s">
        <v>67</v>
      </c>
      <c r="AE28" s="244">
        <f>SUM(AE22:AE27)</f>
        <v>67950</v>
      </c>
    </row>
    <row r="29" spans="1:32" x14ac:dyDescent="0.3">
      <c r="A29" s="37" t="s">
        <v>43</v>
      </c>
      <c r="B29" s="36"/>
      <c r="C29" s="46">
        <v>0</v>
      </c>
      <c r="D29" s="47"/>
      <c r="E29" s="48" t="str">
        <f>'Tutorial 3 Sol'!A20</f>
        <v xml:space="preserve">(e) </v>
      </c>
      <c r="F29" s="49">
        <f>'Tutorial 3 Sol'!D20</f>
        <v>8200</v>
      </c>
      <c r="G29" s="50"/>
      <c r="H29" s="35">
        <f t="shared" si="6"/>
        <v>8200</v>
      </c>
      <c r="I29" s="38"/>
      <c r="J29" s="57" t="s">
        <v>127</v>
      </c>
      <c r="K29" s="49"/>
      <c r="L29" s="54">
        <f t="shared" si="8"/>
        <v>8200</v>
      </c>
      <c r="M29" s="35">
        <f t="shared" si="7"/>
        <v>0</v>
      </c>
      <c r="N29" s="38"/>
      <c r="AC29" s="4" t="s">
        <v>68</v>
      </c>
      <c r="AE29" s="235"/>
    </row>
    <row r="30" spans="1:32" x14ac:dyDescent="0.3">
      <c r="A30" s="37" t="s">
        <v>0</v>
      </c>
      <c r="B30" s="36"/>
      <c r="C30" s="46">
        <v>0</v>
      </c>
      <c r="D30" s="47"/>
      <c r="E30" s="57" t="str">
        <f>'Tutorial 3 Sol'!A14</f>
        <v xml:space="preserve">(c) </v>
      </c>
      <c r="F30" s="49">
        <f>'Tutorial 3 Sol'!D14</f>
        <v>2850</v>
      </c>
      <c r="G30" s="50"/>
      <c r="H30" s="35">
        <f t="shared" si="6"/>
        <v>2850</v>
      </c>
      <c r="I30" s="38"/>
      <c r="J30" s="57" t="s">
        <v>127</v>
      </c>
      <c r="K30" s="49"/>
      <c r="L30" s="54">
        <f t="shared" si="8"/>
        <v>2850</v>
      </c>
      <c r="M30" s="35">
        <f t="shared" si="7"/>
        <v>0</v>
      </c>
      <c r="N30" s="38"/>
      <c r="AC30" s="4"/>
      <c r="AD30" s="1" t="str">
        <f>A18</f>
        <v>Long-term Debt</v>
      </c>
      <c r="AE30" s="236">
        <f>I18</f>
        <v>50000</v>
      </c>
    </row>
    <row r="31" spans="1:32" x14ac:dyDescent="0.3">
      <c r="A31" s="37" t="s">
        <v>45</v>
      </c>
      <c r="B31" s="36"/>
      <c r="C31" s="46">
        <v>0</v>
      </c>
      <c r="D31" s="47"/>
      <c r="E31" s="86" t="str">
        <f>'Tutorial 3 Sol'!A26</f>
        <v>(g)</v>
      </c>
      <c r="F31" s="49">
        <f>'Tutorial 3 Sol'!D26</f>
        <v>4200</v>
      </c>
      <c r="G31" s="50"/>
      <c r="H31" s="35">
        <f t="shared" si="6"/>
        <v>4200</v>
      </c>
      <c r="I31" s="38"/>
      <c r="J31" s="57" t="s">
        <v>127</v>
      </c>
      <c r="K31" s="49"/>
      <c r="L31" s="54">
        <f t="shared" si="8"/>
        <v>4200</v>
      </c>
      <c r="M31" s="35">
        <f t="shared" si="7"/>
        <v>0</v>
      </c>
      <c r="N31" s="38"/>
      <c r="AC31" s="4" t="s">
        <v>12</v>
      </c>
      <c r="AE31" s="236">
        <f>AE28+AE30</f>
        <v>117950</v>
      </c>
      <c r="AF31" s="49"/>
    </row>
    <row r="32" spans="1:32" x14ac:dyDescent="0.3">
      <c r="A32" s="59"/>
      <c r="B32" s="94"/>
      <c r="C32" s="60">
        <f>SUM(C5:C31)</f>
        <v>1079880</v>
      </c>
      <c r="D32" s="61">
        <f>SUM(D5:D31)</f>
        <v>1079880</v>
      </c>
      <c r="E32" s="62"/>
      <c r="F32" s="62">
        <f>SUM(F5:F31)</f>
        <v>35640</v>
      </c>
      <c r="G32" s="95">
        <f>SUM(G5:G31)</f>
        <v>35640</v>
      </c>
      <c r="H32" s="65">
        <f>SUM(H5:H31)</f>
        <v>1096930</v>
      </c>
      <c r="I32" s="61">
        <f>SUM(I5:I31)</f>
        <v>1096930</v>
      </c>
      <c r="J32" s="62"/>
      <c r="K32" s="62">
        <f>SUM(K5:K31)</f>
        <v>315550</v>
      </c>
      <c r="L32" s="95">
        <f>SUM(L5:L31)</f>
        <v>315550</v>
      </c>
      <c r="M32" s="65">
        <f>SUM(M5:M31)</f>
        <v>824456</v>
      </c>
      <c r="N32" s="61">
        <f>SUM(N5:N31)</f>
        <v>824456</v>
      </c>
      <c r="AC32" s="37" t="s">
        <v>13</v>
      </c>
      <c r="AE32" s="235"/>
      <c r="AF32" s="49"/>
    </row>
    <row r="33" spans="1:32" x14ac:dyDescent="0.3">
      <c r="D33" s="76">
        <f>C32-D32</f>
        <v>0</v>
      </c>
      <c r="G33" s="76"/>
      <c r="H33" s="77"/>
      <c r="I33" s="76">
        <f>H32-I32</f>
        <v>0</v>
      </c>
      <c r="L33" s="76"/>
      <c r="M33" s="77"/>
      <c r="N33" s="76">
        <f>M32-N32</f>
        <v>0</v>
      </c>
      <c r="AC33" s="96" t="str">
        <f>A19</f>
        <v>Share Capital - Ordinary Shares</v>
      </c>
      <c r="AE33" s="235">
        <f>U12</f>
        <v>450000</v>
      </c>
    </row>
    <row r="34" spans="1:32" x14ac:dyDescent="0.3">
      <c r="A34" s="1"/>
      <c r="B34" s="1"/>
      <c r="C34" s="97"/>
      <c r="D34" s="53"/>
      <c r="H34" s="97"/>
      <c r="I34" s="53"/>
      <c r="M34" s="97"/>
      <c r="N34" s="53"/>
      <c r="AC34" s="96" t="str">
        <f>A20</f>
        <v>Share Capital - Preference Shares (cumulative)</v>
      </c>
      <c r="AE34" s="235">
        <f>W12</f>
        <v>200000</v>
      </c>
    </row>
    <row r="35" spans="1:32" x14ac:dyDescent="0.3">
      <c r="A35" s="6" t="s">
        <v>29</v>
      </c>
      <c r="B35" s="6"/>
      <c r="C35" s="7"/>
      <c r="D35" s="7"/>
      <c r="E35" s="83"/>
      <c r="F35" s="83"/>
      <c r="G35" s="83"/>
      <c r="H35" s="103"/>
      <c r="I35" s="104"/>
      <c r="M35" s="97"/>
      <c r="N35" s="53"/>
      <c r="AC35" s="96" t="s">
        <v>69</v>
      </c>
      <c r="AE35" s="236">
        <f>Y12</f>
        <v>48306</v>
      </c>
      <c r="AF35" s="53"/>
    </row>
    <row r="36" spans="1:32" x14ac:dyDescent="0.3">
      <c r="A36" s="58" t="s">
        <v>244</v>
      </c>
      <c r="H36" s="53"/>
      <c r="I36" s="53"/>
      <c r="M36" s="97"/>
      <c r="N36" s="53"/>
      <c r="AC36" s="4" t="s">
        <v>70</v>
      </c>
      <c r="AE36" s="236">
        <f>SUM(AE33:AE35)</f>
        <v>698306</v>
      </c>
      <c r="AF36" s="49"/>
    </row>
    <row r="37" spans="1:32" x14ac:dyDescent="0.3">
      <c r="A37" s="28" t="str">
        <f>A22</f>
        <v>Sales Revenue</v>
      </c>
      <c r="B37" s="28"/>
      <c r="C37" s="35">
        <f>I22</f>
        <v>315550</v>
      </c>
      <c r="D37" s="28"/>
      <c r="E37" s="1"/>
      <c r="H37" s="53"/>
      <c r="I37" s="53"/>
      <c r="M37" s="97"/>
      <c r="N37" s="53"/>
      <c r="AC37" s="59" t="s">
        <v>71</v>
      </c>
      <c r="AD37" s="2"/>
      <c r="AE37" s="245">
        <f>AE36+AE31</f>
        <v>816256</v>
      </c>
    </row>
    <row r="38" spans="1:32" x14ac:dyDescent="0.3">
      <c r="A38" s="28"/>
      <c r="B38" s="28" t="str">
        <f t="shared" ref="B38:B46" si="9">A23</f>
        <v>Cost of Goods Sold</v>
      </c>
      <c r="C38" s="28"/>
      <c r="D38" s="35">
        <f>H23</f>
        <v>113934</v>
      </c>
      <c r="E38" s="1"/>
      <c r="H38" s="53"/>
      <c r="I38" s="53"/>
      <c r="M38" s="97"/>
      <c r="N38" s="53"/>
      <c r="AC38" s="98"/>
      <c r="AD38" s="99"/>
      <c r="AE38" s="100"/>
    </row>
    <row r="39" spans="1:32" x14ac:dyDescent="0.3">
      <c r="A39" s="28"/>
      <c r="B39" s="28" t="str">
        <f t="shared" si="9"/>
        <v>Rent Expense</v>
      </c>
      <c r="C39" s="28"/>
      <c r="D39" s="35">
        <f t="shared" ref="D39:D46" si="10">H24</f>
        <v>13200</v>
      </c>
      <c r="E39" s="1"/>
      <c r="H39" s="53"/>
      <c r="I39" s="53"/>
      <c r="M39" s="97"/>
      <c r="N39" s="53"/>
      <c r="AC39" s="101"/>
      <c r="AE39" s="102"/>
    </row>
    <row r="40" spans="1:32" x14ac:dyDescent="0.3">
      <c r="A40" s="28"/>
      <c r="B40" s="28" t="str">
        <f t="shared" si="9"/>
        <v>Marketing Expense</v>
      </c>
      <c r="C40" s="28"/>
      <c r="D40" s="35">
        <f t="shared" si="10"/>
        <v>18500</v>
      </c>
      <c r="E40" s="1"/>
      <c r="H40" s="53"/>
      <c r="I40" s="53"/>
      <c r="M40" s="97"/>
      <c r="N40" s="53"/>
      <c r="AC40" s="101"/>
      <c r="AE40" s="102"/>
    </row>
    <row r="41" spans="1:32" x14ac:dyDescent="0.3">
      <c r="A41" s="28"/>
      <c r="B41" s="28" t="str">
        <f t="shared" si="9"/>
        <v>Salaries Expense</v>
      </c>
      <c r="C41" s="28"/>
      <c r="D41" s="35">
        <f t="shared" si="10"/>
        <v>89400</v>
      </c>
      <c r="E41" s="1"/>
      <c r="H41" s="53"/>
      <c r="I41" s="53"/>
      <c r="M41" s="97"/>
      <c r="N41" s="53"/>
      <c r="AC41" s="101"/>
      <c r="AE41" s="102"/>
    </row>
    <row r="42" spans="1:32" x14ac:dyDescent="0.3">
      <c r="A42" s="28"/>
      <c r="B42" s="28" t="str">
        <f t="shared" si="9"/>
        <v>General Admin Expense</v>
      </c>
      <c r="C42" s="28"/>
      <c r="D42" s="35">
        <f t="shared" si="10"/>
        <v>20390</v>
      </c>
      <c r="E42" s="1"/>
      <c r="H42" s="53"/>
      <c r="I42" s="53"/>
      <c r="M42" s="97"/>
      <c r="N42" s="53"/>
      <c r="AC42" s="101"/>
      <c r="AE42" s="102"/>
    </row>
    <row r="43" spans="1:32" x14ac:dyDescent="0.3">
      <c r="A43" s="28"/>
      <c r="B43" s="28" t="str">
        <f t="shared" si="9"/>
        <v xml:space="preserve">Consulting Fees </v>
      </c>
      <c r="C43" s="28"/>
      <c r="D43" s="35">
        <f t="shared" si="10"/>
        <v>1800</v>
      </c>
      <c r="E43" s="1"/>
      <c r="H43" s="53"/>
      <c r="I43" s="53"/>
      <c r="M43" s="97"/>
      <c r="N43" s="53"/>
      <c r="AC43" s="101"/>
      <c r="AE43" s="102"/>
    </row>
    <row r="44" spans="1:32" x14ac:dyDescent="0.3">
      <c r="A44" s="28"/>
      <c r="B44" s="28" t="str">
        <f t="shared" si="9"/>
        <v>Depreciation Expense</v>
      </c>
      <c r="C44" s="28"/>
      <c r="D44" s="35">
        <f t="shared" si="10"/>
        <v>8200</v>
      </c>
      <c r="E44" s="1"/>
      <c r="H44" s="53"/>
      <c r="I44" s="53"/>
      <c r="M44" s="97"/>
      <c r="N44" s="53"/>
      <c r="AC44" s="101"/>
      <c r="AE44" s="102"/>
    </row>
    <row r="45" spans="1:32" x14ac:dyDescent="0.3">
      <c r="A45" s="28"/>
      <c r="B45" s="28" t="str">
        <f t="shared" si="9"/>
        <v>Interest Expense</v>
      </c>
      <c r="C45" s="28"/>
      <c r="D45" s="35">
        <f t="shared" si="10"/>
        <v>2850</v>
      </c>
      <c r="E45" s="1"/>
      <c r="H45" s="53"/>
      <c r="I45" s="53"/>
      <c r="M45" s="97"/>
      <c r="N45" s="53"/>
      <c r="AC45" s="101"/>
      <c r="AE45" s="102"/>
    </row>
    <row r="46" spans="1:32" ht="15.6" customHeight="1" x14ac:dyDescent="0.3">
      <c r="A46" s="28"/>
      <c r="B46" s="28" t="str">
        <f t="shared" si="9"/>
        <v>Income Tax Expense</v>
      </c>
      <c r="C46" s="28"/>
      <c r="D46" s="35">
        <f t="shared" si="10"/>
        <v>4200</v>
      </c>
      <c r="E46" s="1"/>
      <c r="H46" s="53"/>
      <c r="I46" s="53"/>
      <c r="M46" s="97"/>
      <c r="N46" s="53"/>
    </row>
    <row r="47" spans="1:32" x14ac:dyDescent="0.3">
      <c r="A47" s="28"/>
      <c r="B47" s="28" t="s">
        <v>69</v>
      </c>
      <c r="C47" s="28"/>
      <c r="D47" s="35">
        <f>C37-SUM(D38:D46)</f>
        <v>43076</v>
      </c>
      <c r="E47" s="1"/>
      <c r="H47" s="53"/>
      <c r="I47" s="53"/>
      <c r="M47" s="97"/>
      <c r="N47" s="53"/>
    </row>
    <row r="48" spans="1:32" x14ac:dyDescent="0.3">
      <c r="H48" s="53"/>
      <c r="I48" s="53"/>
      <c r="M48" s="97"/>
      <c r="N48" s="53"/>
    </row>
    <row r="49" spans="1:31" ht="14.4" customHeight="1" x14ac:dyDescent="0.3">
      <c r="M49" s="97"/>
      <c r="N49" s="53"/>
    </row>
    <row r="50" spans="1:31" ht="33.450000000000003" customHeight="1" x14ac:dyDescent="0.3">
      <c r="A50" s="6" t="s">
        <v>30</v>
      </c>
      <c r="B50" s="83"/>
      <c r="C50" s="7"/>
      <c r="D50" s="7"/>
      <c r="E50" s="83"/>
      <c r="F50" s="83"/>
      <c r="G50" s="83"/>
      <c r="H50" s="7"/>
      <c r="I50" s="7"/>
      <c r="M50" s="97"/>
      <c r="N50" s="53"/>
    </row>
    <row r="51" spans="1:31" s="28" customFormat="1" ht="14.55" customHeight="1" x14ac:dyDescent="0.3">
      <c r="A51" s="1"/>
      <c r="B51" s="1"/>
      <c r="C51" s="327" t="s">
        <v>311</v>
      </c>
      <c r="D51" s="327"/>
      <c r="E51" s="1"/>
      <c r="F51" s="1"/>
      <c r="G51" s="1"/>
      <c r="H51" s="1"/>
      <c r="I51" s="1"/>
      <c r="J51" s="58"/>
      <c r="K51" s="58"/>
      <c r="L51" s="58"/>
      <c r="M51" s="97"/>
      <c r="N51" s="53"/>
      <c r="P51" s="1"/>
      <c r="Q51" s="1"/>
      <c r="R51" s="1"/>
      <c r="AC51" s="1"/>
      <c r="AD51" s="1"/>
      <c r="AE51" s="1"/>
    </row>
    <row r="52" spans="1:31" x14ac:dyDescent="0.3">
      <c r="A52" s="28" t="s">
        <v>72</v>
      </c>
      <c r="B52" s="28" t="s">
        <v>73</v>
      </c>
      <c r="C52" s="326">
        <f>C53/C54</f>
        <v>0.13651085406433211</v>
      </c>
      <c r="D52" s="326"/>
      <c r="E52" s="1"/>
      <c r="F52" s="1"/>
      <c r="G52" s="1"/>
      <c r="M52" s="97"/>
      <c r="N52" s="53"/>
      <c r="P52" s="28"/>
      <c r="Q52" s="28"/>
      <c r="R52" s="28"/>
    </row>
    <row r="53" spans="1:31" x14ac:dyDescent="0.3">
      <c r="A53" s="1"/>
      <c r="B53" s="1" t="s">
        <v>59</v>
      </c>
      <c r="C53" s="306">
        <f>R20</f>
        <v>43076</v>
      </c>
      <c r="D53" s="306"/>
      <c r="E53" s="1"/>
      <c r="F53" s="1"/>
      <c r="G53" s="1"/>
      <c r="M53" s="97"/>
      <c r="N53" s="53"/>
    </row>
    <row r="54" spans="1:31" x14ac:dyDescent="0.3">
      <c r="A54" s="1"/>
      <c r="B54" s="1" t="s">
        <v>74</v>
      </c>
      <c r="C54" s="306">
        <f>R7</f>
        <v>315550</v>
      </c>
      <c r="D54" s="306"/>
      <c r="E54" s="1"/>
      <c r="F54" s="1"/>
      <c r="G54" s="1"/>
      <c r="M54" s="97"/>
      <c r="N54" s="53"/>
    </row>
    <row r="55" spans="1:31" x14ac:dyDescent="0.3">
      <c r="A55" s="1"/>
      <c r="B55" s="1"/>
      <c r="C55" s="304"/>
      <c r="D55" s="304"/>
      <c r="E55" s="1"/>
      <c r="F55" s="1"/>
      <c r="G55" s="1"/>
      <c r="M55" s="97"/>
      <c r="N55" s="53"/>
      <c r="AC55" s="28"/>
      <c r="AD55" s="28"/>
      <c r="AE55" s="28"/>
    </row>
    <row r="56" spans="1:31" x14ac:dyDescent="0.3">
      <c r="A56" s="28" t="s">
        <v>75</v>
      </c>
      <c r="B56" s="28" t="s">
        <v>76</v>
      </c>
      <c r="C56" s="326">
        <f>C57/C60</f>
        <v>6.6780044121089607E-2</v>
      </c>
      <c r="D56" s="326"/>
      <c r="E56" s="28"/>
      <c r="F56" s="1"/>
      <c r="G56" s="1"/>
      <c r="H56" s="28"/>
      <c r="I56" s="28"/>
      <c r="M56" s="97"/>
      <c r="N56" s="53"/>
    </row>
    <row r="57" spans="1:31" s="28" customFormat="1" x14ac:dyDescent="0.3">
      <c r="A57" s="1"/>
      <c r="B57" s="1" t="s">
        <v>59</v>
      </c>
      <c r="C57" s="306">
        <f>C53</f>
        <v>43076</v>
      </c>
      <c r="D57" s="306"/>
      <c r="E57" s="1"/>
      <c r="F57" s="1"/>
      <c r="G57" s="1"/>
      <c r="H57" s="1"/>
      <c r="I57" s="1"/>
      <c r="J57" s="58"/>
      <c r="K57" s="58"/>
      <c r="L57" s="58"/>
      <c r="M57" s="97"/>
      <c r="N57" s="53"/>
      <c r="P57" s="1"/>
      <c r="Q57" s="1"/>
      <c r="R57" s="1"/>
      <c r="AC57" s="1"/>
      <c r="AD57" s="1"/>
      <c r="AE57" s="1"/>
    </row>
    <row r="58" spans="1:31" x14ac:dyDescent="0.3">
      <c r="A58" s="1"/>
      <c r="B58" s="1" t="s">
        <v>77</v>
      </c>
      <c r="C58" s="306">
        <f>'Tutorial 2 Sol'!X7</f>
        <v>473830</v>
      </c>
      <c r="D58" s="306"/>
      <c r="E58" s="1"/>
      <c r="F58" s="1"/>
      <c r="G58" s="1"/>
      <c r="M58" s="97"/>
      <c r="N58" s="53"/>
      <c r="P58" s="28"/>
      <c r="Q58" s="28"/>
      <c r="R58" s="28"/>
    </row>
    <row r="59" spans="1:31" x14ac:dyDescent="0.3">
      <c r="A59" s="1"/>
      <c r="B59" s="1" t="s">
        <v>78</v>
      </c>
      <c r="C59" s="306">
        <f>AE18</f>
        <v>816256</v>
      </c>
      <c r="D59" s="306"/>
      <c r="E59" s="1"/>
      <c r="F59" s="1"/>
      <c r="G59" s="1"/>
      <c r="M59" s="97"/>
      <c r="N59" s="53"/>
    </row>
    <row r="60" spans="1:31" x14ac:dyDescent="0.3">
      <c r="A60" s="1"/>
      <c r="B60" s="1" t="s">
        <v>79</v>
      </c>
      <c r="C60" s="306">
        <f>SUM(C58:C59)/2</f>
        <v>645043</v>
      </c>
      <c r="D60" s="306"/>
      <c r="E60" s="1"/>
      <c r="F60" s="1"/>
      <c r="G60" s="1"/>
      <c r="M60" s="97"/>
      <c r="N60" s="53"/>
    </row>
    <row r="61" spans="1:31" x14ac:dyDescent="0.3">
      <c r="A61" s="1"/>
      <c r="B61" s="1"/>
      <c r="C61" s="304"/>
      <c r="D61" s="304"/>
      <c r="E61" s="1"/>
      <c r="F61" s="1"/>
      <c r="G61" s="1"/>
      <c r="M61" s="97"/>
      <c r="N61" s="53"/>
      <c r="AC61" s="28"/>
      <c r="AD61" s="28"/>
      <c r="AE61" s="28"/>
    </row>
    <row r="62" spans="1:31" x14ac:dyDescent="0.3">
      <c r="A62" s="28" t="s">
        <v>80</v>
      </c>
      <c r="B62" s="28" t="s">
        <v>31</v>
      </c>
      <c r="C62" s="305">
        <f>C63/C64</f>
        <v>0.14450123490669595</v>
      </c>
      <c r="D62" s="305"/>
      <c r="E62" s="28"/>
      <c r="F62" s="1"/>
      <c r="G62" s="1"/>
      <c r="H62" s="28"/>
      <c r="I62" s="28"/>
      <c r="M62" s="97"/>
      <c r="N62" s="53"/>
    </row>
    <row r="63" spans="1:31" x14ac:dyDescent="0.3">
      <c r="A63" s="1"/>
      <c r="B63" s="1" t="s">
        <v>12</v>
      </c>
      <c r="C63" s="306">
        <f>AE31</f>
        <v>117950</v>
      </c>
      <c r="D63" s="306"/>
      <c r="E63" s="1"/>
      <c r="F63" s="1"/>
      <c r="G63" s="1"/>
      <c r="M63" s="97"/>
      <c r="N63" s="53"/>
    </row>
    <row r="64" spans="1:31" x14ac:dyDescent="0.3">
      <c r="A64" s="1"/>
      <c r="B64" s="1" t="s">
        <v>10</v>
      </c>
      <c r="C64" s="306">
        <f>AE18</f>
        <v>816256</v>
      </c>
      <c r="D64" s="306"/>
      <c r="E64" s="1"/>
      <c r="F64" s="1"/>
      <c r="G64" s="1"/>
      <c r="M64" s="97"/>
      <c r="N64" s="53"/>
      <c r="O64" s="138"/>
    </row>
    <row r="65" spans="1:14" x14ac:dyDescent="0.3">
      <c r="A65" s="1"/>
      <c r="B65" s="1"/>
      <c r="E65" s="1"/>
      <c r="F65" s="1"/>
      <c r="G65" s="1"/>
      <c r="M65" s="97"/>
      <c r="N65" s="53"/>
    </row>
    <row r="66" spans="1:14" x14ac:dyDescent="0.3">
      <c r="A66" s="1"/>
      <c r="B66" s="1"/>
      <c r="E66" s="1"/>
      <c r="F66" s="1"/>
      <c r="G66" s="1"/>
      <c r="M66" s="97"/>
      <c r="N66" s="53"/>
    </row>
    <row r="67" spans="1:14" x14ac:dyDescent="0.3">
      <c r="M67" s="97"/>
      <c r="N67" s="53"/>
    </row>
    <row r="68" spans="1:14" x14ac:dyDescent="0.3">
      <c r="M68" s="97"/>
      <c r="N68" s="53"/>
    </row>
    <row r="69" spans="1:14" x14ac:dyDescent="0.3">
      <c r="M69" s="97"/>
      <c r="N69" s="53"/>
    </row>
  </sheetData>
  <mergeCells count="29">
    <mergeCell ref="C56:D56"/>
    <mergeCell ref="C57:D57"/>
    <mergeCell ref="C58:D58"/>
    <mergeCell ref="C59:D59"/>
    <mergeCell ref="C51:D51"/>
    <mergeCell ref="C52:D52"/>
    <mergeCell ref="C53:D53"/>
    <mergeCell ref="C54:D54"/>
    <mergeCell ref="C55:D55"/>
    <mergeCell ref="AC3:AE3"/>
    <mergeCell ref="P4:R4"/>
    <mergeCell ref="T4:AA4"/>
    <mergeCell ref="AC4:AE4"/>
    <mergeCell ref="P5:R5"/>
    <mergeCell ref="T5:AA5"/>
    <mergeCell ref="AC5:AE5"/>
    <mergeCell ref="T3:AA3"/>
    <mergeCell ref="A3:B4"/>
    <mergeCell ref="C3:D3"/>
    <mergeCell ref="H3:I3"/>
    <mergeCell ref="P3:R3"/>
    <mergeCell ref="E3:G3"/>
    <mergeCell ref="J3:L3"/>
    <mergeCell ref="M3:N3"/>
    <mergeCell ref="C61:D61"/>
    <mergeCell ref="C62:D62"/>
    <mergeCell ref="C63:D63"/>
    <mergeCell ref="C64:D64"/>
    <mergeCell ref="C60:D60"/>
  </mergeCells>
  <pageMargins left="0.7" right="0.7" top="0.75" bottom="0.75" header="0.3" footer="0.3"/>
  <pageSetup orientation="portrait" horizontalDpi="4294967295" verticalDpi="4294967295"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D8AD8-12FF-4B88-943A-8682FA721F44}">
  <dimension ref="A1:L149"/>
  <sheetViews>
    <sheetView topLeftCell="A140" zoomScaleNormal="100" workbookViewId="0">
      <selection activeCell="G105" sqref="G105"/>
    </sheetView>
  </sheetViews>
  <sheetFormatPr defaultRowHeight="14.4" x14ac:dyDescent="0.3"/>
  <cols>
    <col min="1" max="1" width="5.44140625" style="1" customWidth="1"/>
    <col min="2" max="2" width="20.44140625" style="1" customWidth="1"/>
    <col min="3" max="3" width="15.44140625" style="1" customWidth="1"/>
    <col min="4" max="4" width="8.88671875" style="1" bestFit="1" customWidth="1"/>
    <col min="5" max="5" width="18.44140625" style="1" customWidth="1"/>
    <col min="6" max="6" width="1.33203125" style="1" customWidth="1"/>
    <col min="7" max="7" width="13.33203125" style="1" customWidth="1"/>
    <col min="12" max="12" width="9.5546875" bestFit="1" customWidth="1"/>
  </cols>
  <sheetData>
    <row r="1" spans="1:10" ht="18" x14ac:dyDescent="0.35">
      <c r="A1" s="67" t="s">
        <v>109</v>
      </c>
    </row>
    <row r="2" spans="1:10" x14ac:dyDescent="0.3">
      <c r="A2" s="250"/>
    </row>
    <row r="3" spans="1:10" s="231" customFormat="1" ht="40.799999999999997" customHeight="1" x14ac:dyDescent="0.3">
      <c r="A3" s="256" t="s">
        <v>20</v>
      </c>
      <c r="B3" s="328" t="s">
        <v>227</v>
      </c>
      <c r="C3" s="328"/>
      <c r="D3" s="328"/>
      <c r="E3" s="328"/>
      <c r="F3" s="328"/>
      <c r="G3" s="328"/>
    </row>
    <row r="4" spans="1:10" x14ac:dyDescent="0.3">
      <c r="A4" s="131"/>
      <c r="B4" s="148" t="s">
        <v>228</v>
      </c>
      <c r="C4" s="145"/>
      <c r="D4" s="145"/>
      <c r="E4" s="145"/>
      <c r="F4" s="145"/>
      <c r="G4" s="149">
        <f>26400/24*6</f>
        <v>6600</v>
      </c>
    </row>
    <row r="5" spans="1:10" x14ac:dyDescent="0.3">
      <c r="A5" s="131"/>
      <c r="B5" s="148" t="s">
        <v>129</v>
      </c>
      <c r="C5" s="145"/>
      <c r="D5" s="145"/>
      <c r="E5" s="145"/>
      <c r="F5" s="145"/>
      <c r="G5" s="149">
        <f>-'Tutorial 4 Sol'!R10</f>
        <v>13200</v>
      </c>
    </row>
    <row r="6" spans="1:10" x14ac:dyDescent="0.3">
      <c r="A6" s="131"/>
      <c r="B6" s="150" t="s">
        <v>128</v>
      </c>
      <c r="C6" s="151"/>
      <c r="D6" s="151"/>
      <c r="E6" s="151"/>
      <c r="F6" s="151"/>
      <c r="G6" s="152">
        <f>G4-G5</f>
        <v>-6600</v>
      </c>
    </row>
    <row r="7" spans="1:10" x14ac:dyDescent="0.3">
      <c r="A7" s="131"/>
      <c r="B7" s="145"/>
      <c r="C7" s="145"/>
      <c r="D7" s="145"/>
      <c r="E7" s="145"/>
      <c r="F7" s="145"/>
      <c r="G7" s="145"/>
    </row>
    <row r="8" spans="1:10" x14ac:dyDescent="0.3">
      <c r="A8" s="124" t="s">
        <v>110</v>
      </c>
      <c r="B8" s="58"/>
    </row>
    <row r="9" spans="1:10" x14ac:dyDescent="0.3">
      <c r="A9" s="1" t="s">
        <v>19</v>
      </c>
      <c r="C9" s="132">
        <f>-G6</f>
        <v>6600</v>
      </c>
      <c r="D9" s="132"/>
      <c r="J9" s="133"/>
    </row>
    <row r="10" spans="1:10" x14ac:dyDescent="0.3">
      <c r="B10" s="1" t="s">
        <v>17</v>
      </c>
      <c r="C10" s="132"/>
      <c r="D10" s="132">
        <f>-G6</f>
        <v>6600</v>
      </c>
      <c r="G10" s="251"/>
    </row>
    <row r="11" spans="1:10" x14ac:dyDescent="0.3">
      <c r="C11" s="132"/>
      <c r="D11" s="132"/>
    </row>
    <row r="12" spans="1:10" x14ac:dyDescent="0.3">
      <c r="A12" s="124" t="s">
        <v>111</v>
      </c>
      <c r="C12" s="132"/>
      <c r="D12" s="132"/>
    </row>
    <row r="13" spans="1:10" ht="28.8" x14ac:dyDescent="0.3">
      <c r="C13" s="113" t="s">
        <v>229</v>
      </c>
      <c r="D13" s="329" t="s">
        <v>112</v>
      </c>
      <c r="E13" s="329"/>
      <c r="F13" s="329"/>
      <c r="G13" s="105" t="s">
        <v>113</v>
      </c>
    </row>
    <row r="14" spans="1:10" x14ac:dyDescent="0.3">
      <c r="A14" s="28" t="s">
        <v>72</v>
      </c>
      <c r="B14" s="28" t="s">
        <v>73</v>
      </c>
      <c r="C14" s="135">
        <f>C15/C16</f>
        <v>0.13651085406433211</v>
      </c>
      <c r="G14" s="135">
        <f>G15/G16</f>
        <v>0.15742671525907145</v>
      </c>
    </row>
    <row r="15" spans="1:10" x14ac:dyDescent="0.3">
      <c r="B15" s="1" t="s">
        <v>59</v>
      </c>
      <c r="C15" s="132">
        <f>'Tutorial 4 Sol'!C53:D53</f>
        <v>43076</v>
      </c>
      <c r="D15" s="132">
        <f>D10</f>
        <v>6600</v>
      </c>
      <c r="E15" s="1" t="s">
        <v>130</v>
      </c>
      <c r="G15" s="132">
        <f>C15+D15</f>
        <v>49676</v>
      </c>
    </row>
    <row r="16" spans="1:10" x14ac:dyDescent="0.3">
      <c r="B16" s="1" t="s">
        <v>74</v>
      </c>
      <c r="C16" s="132">
        <f>'Tutorial 4 Sol'!C54:D54</f>
        <v>315550</v>
      </c>
      <c r="D16" s="132"/>
      <c r="G16" s="132">
        <f>C16+D16</f>
        <v>315550</v>
      </c>
    </row>
    <row r="18" spans="1:10" x14ac:dyDescent="0.3">
      <c r="A18" s="28" t="s">
        <v>75</v>
      </c>
      <c r="B18" s="28" t="s">
        <v>76</v>
      </c>
      <c r="C18" s="135">
        <f>C19/C22</f>
        <v>6.6780044121089607E-2</v>
      </c>
      <c r="G18" s="135">
        <f>G19/G22</f>
        <v>7.6619937286282108E-2</v>
      </c>
    </row>
    <row r="19" spans="1:10" x14ac:dyDescent="0.3">
      <c r="B19" s="1" t="s">
        <v>59</v>
      </c>
      <c r="C19" s="132">
        <f>'Tutorial 4 Sol'!C57:D57</f>
        <v>43076</v>
      </c>
      <c r="D19" s="132">
        <f>D15</f>
        <v>6600</v>
      </c>
      <c r="E19" s="1" t="str">
        <f>E15</f>
        <v>increase</v>
      </c>
      <c r="G19" s="132">
        <f>C19+D19</f>
        <v>49676</v>
      </c>
    </row>
    <row r="20" spans="1:10" x14ac:dyDescent="0.3">
      <c r="B20" s="1" t="s">
        <v>77</v>
      </c>
      <c r="C20" s="132">
        <f>'Tutorial 4 Sol'!C58:D58</f>
        <v>473830</v>
      </c>
      <c r="G20" s="132">
        <f>C20+D20</f>
        <v>473830</v>
      </c>
    </row>
    <row r="21" spans="1:10" x14ac:dyDescent="0.3">
      <c r="B21" s="1" t="s">
        <v>78</v>
      </c>
      <c r="C21" s="132">
        <f>'Tutorial 4 Sol'!C59:D59</f>
        <v>816256</v>
      </c>
      <c r="D21" s="132">
        <f>C9</f>
        <v>6600</v>
      </c>
      <c r="E21" s="1" t="s">
        <v>131</v>
      </c>
      <c r="G21" s="132">
        <f>C21+D21</f>
        <v>822856</v>
      </c>
    </row>
    <row r="22" spans="1:10" x14ac:dyDescent="0.3">
      <c r="B22" s="1" t="s">
        <v>79</v>
      </c>
      <c r="C22" s="132">
        <f>'Tutorial 4 Sol'!C60:D60</f>
        <v>645043</v>
      </c>
      <c r="G22" s="132">
        <f>SUM(G20:G21)/2</f>
        <v>648343</v>
      </c>
    </row>
    <row r="24" spans="1:10" x14ac:dyDescent="0.3">
      <c r="A24" s="28" t="s">
        <v>80</v>
      </c>
      <c r="B24" s="28" t="s">
        <v>31</v>
      </c>
      <c r="C24" s="135">
        <f>C25/C26</f>
        <v>0.14450123490669595</v>
      </c>
      <c r="G24" s="135">
        <f>G25/G26</f>
        <v>0.14334221297529579</v>
      </c>
    </row>
    <row r="25" spans="1:10" x14ac:dyDescent="0.3">
      <c r="B25" s="1" t="s">
        <v>12</v>
      </c>
      <c r="C25" s="132">
        <f>'Tutorial 4 Sol'!C63:D63</f>
        <v>117950</v>
      </c>
      <c r="G25" s="132">
        <f>C25</f>
        <v>117950</v>
      </c>
    </row>
    <row r="26" spans="1:10" x14ac:dyDescent="0.3">
      <c r="B26" s="1" t="s">
        <v>10</v>
      </c>
      <c r="C26" s="132">
        <f>'Tutorial 4 Sol'!C64:D64</f>
        <v>816256</v>
      </c>
      <c r="D26" s="132">
        <f>D21</f>
        <v>6600</v>
      </c>
      <c r="E26" s="1" t="str">
        <f>E21</f>
        <v>prepaid rent increase</v>
      </c>
      <c r="G26" s="132">
        <f>C26+D26</f>
        <v>822856</v>
      </c>
    </row>
    <row r="28" spans="1:10" ht="96.45" customHeight="1" x14ac:dyDescent="0.3">
      <c r="A28" s="330" t="s">
        <v>234</v>
      </c>
      <c r="B28" s="330"/>
      <c r="C28" s="330"/>
      <c r="D28" s="330"/>
      <c r="E28" s="330"/>
      <c r="F28" s="330"/>
      <c r="G28" s="330"/>
    </row>
    <row r="30" spans="1:10" s="231" customFormat="1" ht="54" customHeight="1" x14ac:dyDescent="0.3">
      <c r="A30" s="256" t="s">
        <v>21</v>
      </c>
      <c r="B30" s="328" t="s">
        <v>231</v>
      </c>
      <c r="C30" s="328"/>
      <c r="D30" s="328"/>
      <c r="E30" s="328"/>
      <c r="F30" s="328"/>
      <c r="G30" s="328"/>
    </row>
    <row r="31" spans="1:10" x14ac:dyDescent="0.3">
      <c r="A31" s="124" t="s">
        <v>110</v>
      </c>
      <c r="B31" s="58"/>
    </row>
    <row r="32" spans="1:10" x14ac:dyDescent="0.3">
      <c r="A32" s="1" t="s">
        <v>51</v>
      </c>
      <c r="C32" s="132">
        <v>9000</v>
      </c>
      <c r="D32" s="132"/>
      <c r="J32" s="133"/>
    </row>
    <row r="33" spans="1:7" x14ac:dyDescent="0.3">
      <c r="B33" s="1" t="s">
        <v>230</v>
      </c>
      <c r="C33" s="132"/>
      <c r="D33" s="132">
        <f>C32</f>
        <v>9000</v>
      </c>
      <c r="G33" s="134"/>
    </row>
    <row r="34" spans="1:7" x14ac:dyDescent="0.3">
      <c r="C34" s="132"/>
      <c r="D34" s="132"/>
    </row>
    <row r="35" spans="1:7" x14ac:dyDescent="0.3">
      <c r="A35" s="124" t="s">
        <v>111</v>
      </c>
      <c r="C35" s="132"/>
      <c r="D35" s="132"/>
    </row>
    <row r="36" spans="1:7" ht="28.8" x14ac:dyDescent="0.3">
      <c r="C36" s="113" t="str">
        <f>C13</f>
        <v>From Tutorial 4 Part (5)</v>
      </c>
      <c r="D36" s="329" t="s">
        <v>112</v>
      </c>
      <c r="E36" s="329"/>
      <c r="F36" s="329"/>
      <c r="G36" s="105" t="s">
        <v>113</v>
      </c>
    </row>
    <row r="37" spans="1:7" x14ac:dyDescent="0.3">
      <c r="A37" s="28" t="s">
        <v>72</v>
      </c>
      <c r="B37" s="28" t="s">
        <v>73</v>
      </c>
      <c r="C37" s="135">
        <f>C38/C39</f>
        <v>0.13651085406433211</v>
      </c>
      <c r="G37" s="135">
        <f>G38/G39</f>
        <v>0.11115968031316262</v>
      </c>
    </row>
    <row r="38" spans="1:7" x14ac:dyDescent="0.3">
      <c r="B38" s="1" t="s">
        <v>59</v>
      </c>
      <c r="C38" s="132">
        <f>C15</f>
        <v>43076</v>
      </c>
      <c r="D38" s="132">
        <f>-C32</f>
        <v>-9000</v>
      </c>
      <c r="E38" s="1" t="s">
        <v>114</v>
      </c>
      <c r="G38" s="132">
        <f>C38+D38</f>
        <v>34076</v>
      </c>
    </row>
    <row r="39" spans="1:7" x14ac:dyDescent="0.3">
      <c r="B39" s="1" t="s">
        <v>74</v>
      </c>
      <c r="C39" s="132">
        <f>C16</f>
        <v>315550</v>
      </c>
      <c r="D39" s="132">
        <f>D38</f>
        <v>-9000</v>
      </c>
      <c r="E39" s="1" t="str">
        <f>E38</f>
        <v>decrease</v>
      </c>
      <c r="G39" s="132">
        <f>C39+D39</f>
        <v>306550</v>
      </c>
    </row>
    <row r="41" spans="1:7" x14ac:dyDescent="0.3">
      <c r="A41" s="28" t="s">
        <v>75</v>
      </c>
      <c r="B41" s="28" t="s">
        <v>76</v>
      </c>
      <c r="C41" s="135">
        <f>C42/C45</f>
        <v>6.6780044121089607E-2</v>
      </c>
      <c r="G41" s="135">
        <f>G42/G45</f>
        <v>5.2827485919543352E-2</v>
      </c>
    </row>
    <row r="42" spans="1:7" x14ac:dyDescent="0.3">
      <c r="B42" s="1" t="s">
        <v>59</v>
      </c>
      <c r="C42" s="132">
        <f>C19</f>
        <v>43076</v>
      </c>
      <c r="D42" s="132">
        <f>D39</f>
        <v>-9000</v>
      </c>
      <c r="E42" s="1" t="str">
        <f>E39</f>
        <v>decrease</v>
      </c>
      <c r="G42" s="132">
        <f>C42+D42</f>
        <v>34076</v>
      </c>
    </row>
    <row r="43" spans="1:7" x14ac:dyDescent="0.3">
      <c r="B43" s="1" t="s">
        <v>77</v>
      </c>
      <c r="C43" s="132">
        <f>C20</f>
        <v>473830</v>
      </c>
      <c r="G43" s="132">
        <f>C43+D43</f>
        <v>473830</v>
      </c>
    </row>
    <row r="44" spans="1:7" x14ac:dyDescent="0.3">
      <c r="B44" s="1" t="s">
        <v>78</v>
      </c>
      <c r="C44" s="132">
        <f>C21</f>
        <v>816256</v>
      </c>
      <c r="D44" s="132"/>
      <c r="G44" s="132">
        <f>C44+D44</f>
        <v>816256</v>
      </c>
    </row>
    <row r="45" spans="1:7" x14ac:dyDescent="0.3">
      <c r="B45" s="1" t="s">
        <v>79</v>
      </c>
      <c r="C45" s="132">
        <f>C22</f>
        <v>645043</v>
      </c>
      <c r="G45" s="132">
        <f>SUM(G43:G44)/2</f>
        <v>645043</v>
      </c>
    </row>
    <row r="47" spans="1:7" x14ac:dyDescent="0.3">
      <c r="A47" s="28" t="s">
        <v>80</v>
      </c>
      <c r="B47" s="28" t="s">
        <v>31</v>
      </c>
      <c r="C47" s="135">
        <f>C48/C49</f>
        <v>0.14450123490669595</v>
      </c>
      <c r="G47" s="135">
        <f>G48/G49</f>
        <v>0.15552718754900424</v>
      </c>
    </row>
    <row r="48" spans="1:7" x14ac:dyDescent="0.3">
      <c r="B48" s="1" t="s">
        <v>12</v>
      </c>
      <c r="C48" s="132">
        <f>C25</f>
        <v>117950</v>
      </c>
      <c r="D48" s="132">
        <f>D33</f>
        <v>9000</v>
      </c>
      <c r="E48" s="1" t="s">
        <v>130</v>
      </c>
      <c r="G48" s="132">
        <f>C48+D48</f>
        <v>126950</v>
      </c>
    </row>
    <row r="49" spans="1:7" x14ac:dyDescent="0.3">
      <c r="B49" s="1" t="s">
        <v>10</v>
      </c>
      <c r="C49" s="132">
        <f>C26</f>
        <v>816256</v>
      </c>
      <c r="D49" s="132"/>
      <c r="G49" s="132">
        <f>C49+D49</f>
        <v>816256</v>
      </c>
    </row>
    <row r="51" spans="1:7" ht="78.599999999999994" customHeight="1" x14ac:dyDescent="0.3">
      <c r="A51" s="330" t="s">
        <v>235</v>
      </c>
      <c r="B51" s="330"/>
      <c r="C51" s="330"/>
      <c r="D51" s="330"/>
      <c r="E51" s="330"/>
      <c r="F51" s="330"/>
      <c r="G51" s="330"/>
    </row>
    <row r="53" spans="1:7" s="231" customFormat="1" ht="50.4" customHeight="1" x14ac:dyDescent="0.3">
      <c r="A53" s="257" t="s">
        <v>22</v>
      </c>
      <c r="B53" s="328" t="s">
        <v>232</v>
      </c>
      <c r="C53" s="328"/>
      <c r="D53" s="328"/>
      <c r="E53" s="328"/>
      <c r="F53" s="328"/>
      <c r="G53" s="328"/>
    </row>
    <row r="54" spans="1:7" x14ac:dyDescent="0.3">
      <c r="A54" s="124" t="s">
        <v>110</v>
      </c>
      <c r="B54" s="58"/>
    </row>
    <row r="55" spans="1:7" x14ac:dyDescent="0.3">
      <c r="A55" s="1" t="s">
        <v>5</v>
      </c>
      <c r="C55" s="132">
        <v>5000</v>
      </c>
      <c r="D55" s="132"/>
    </row>
    <row r="56" spans="1:7" x14ac:dyDescent="0.3">
      <c r="B56" s="1" t="s">
        <v>4</v>
      </c>
      <c r="C56" s="132"/>
      <c r="D56" s="132">
        <f>C55</f>
        <v>5000</v>
      </c>
    </row>
    <row r="57" spans="1:7" x14ac:dyDescent="0.3">
      <c r="C57" s="132"/>
      <c r="D57" s="132"/>
    </row>
    <row r="58" spans="1:7" x14ac:dyDescent="0.3">
      <c r="A58" s="124" t="s">
        <v>111</v>
      </c>
      <c r="C58" s="132"/>
      <c r="D58" s="132"/>
    </row>
    <row r="59" spans="1:7" ht="28.8" x14ac:dyDescent="0.3">
      <c r="C59" s="113" t="str">
        <f>C36</f>
        <v>From Tutorial 4 Part (5)</v>
      </c>
      <c r="D59" s="329" t="s">
        <v>112</v>
      </c>
      <c r="E59" s="329"/>
      <c r="F59" s="329"/>
      <c r="G59" s="105" t="s">
        <v>113</v>
      </c>
    </row>
    <row r="60" spans="1:7" x14ac:dyDescent="0.3">
      <c r="A60" s="28" t="s">
        <v>72</v>
      </c>
      <c r="B60" s="28" t="s">
        <v>73</v>
      </c>
      <c r="C60" s="135">
        <f>C61/C62</f>
        <v>0.13651085406433211</v>
      </c>
      <c r="G60" s="135">
        <f>G61/G62</f>
        <v>0.12066550467437807</v>
      </c>
    </row>
    <row r="61" spans="1:7" x14ac:dyDescent="0.3">
      <c r="B61" s="1" t="s">
        <v>59</v>
      </c>
      <c r="C61" s="132">
        <f>C38</f>
        <v>43076</v>
      </c>
      <c r="D61" s="132">
        <f>-C55</f>
        <v>-5000</v>
      </c>
      <c r="E61" s="1" t="s">
        <v>114</v>
      </c>
      <c r="G61" s="132">
        <f>C61+D61</f>
        <v>38076</v>
      </c>
    </row>
    <row r="62" spans="1:7" x14ac:dyDescent="0.3">
      <c r="B62" s="1" t="s">
        <v>74</v>
      </c>
      <c r="C62" s="132">
        <f>C39</f>
        <v>315550</v>
      </c>
      <c r="D62" s="132"/>
      <c r="G62" s="132">
        <f>C62+D62</f>
        <v>315550</v>
      </c>
    </row>
    <row r="64" spans="1:7" x14ac:dyDescent="0.3">
      <c r="A64" s="28" t="s">
        <v>75</v>
      </c>
      <c r="B64" s="28" t="s">
        <v>76</v>
      </c>
      <c r="C64" s="135">
        <f>C65/C68</f>
        <v>6.6780044121089607E-2</v>
      </c>
      <c r="G64" s="135">
        <f>G65/G68</f>
        <v>5.9258290884812381E-2</v>
      </c>
    </row>
    <row r="65" spans="1:7" x14ac:dyDescent="0.3">
      <c r="B65" s="1" t="s">
        <v>59</v>
      </c>
      <c r="C65" s="132">
        <f>C42</f>
        <v>43076</v>
      </c>
      <c r="D65" s="132">
        <f>D61</f>
        <v>-5000</v>
      </c>
      <c r="E65" s="1" t="str">
        <f>E61</f>
        <v>decrease</v>
      </c>
      <c r="G65" s="132">
        <f>C65+D65</f>
        <v>38076</v>
      </c>
    </row>
    <row r="66" spans="1:7" x14ac:dyDescent="0.3">
      <c r="B66" s="1" t="s">
        <v>77</v>
      </c>
      <c r="C66" s="132">
        <f>C43</f>
        <v>473830</v>
      </c>
      <c r="G66" s="132">
        <f>C66+D66</f>
        <v>473830</v>
      </c>
    </row>
    <row r="67" spans="1:7" x14ac:dyDescent="0.3">
      <c r="B67" s="1" t="s">
        <v>78</v>
      </c>
      <c r="C67" s="132">
        <f>C44</f>
        <v>816256</v>
      </c>
      <c r="D67" s="132">
        <f>-D56</f>
        <v>-5000</v>
      </c>
      <c r="E67" s="1" t="s">
        <v>115</v>
      </c>
      <c r="G67" s="132">
        <f>C67+D67</f>
        <v>811256</v>
      </c>
    </row>
    <row r="68" spans="1:7" x14ac:dyDescent="0.3">
      <c r="B68" s="1" t="s">
        <v>79</v>
      </c>
      <c r="C68" s="132">
        <f>C45</f>
        <v>645043</v>
      </c>
      <c r="G68" s="132">
        <f>SUM(G66:G67)/2</f>
        <v>642543</v>
      </c>
    </row>
    <row r="70" spans="1:7" x14ac:dyDescent="0.3">
      <c r="A70" s="28" t="s">
        <v>80</v>
      </c>
      <c r="B70" s="28" t="s">
        <v>31</v>
      </c>
      <c r="C70" s="135">
        <f>C71/C72</f>
        <v>0.14450123490669595</v>
      </c>
      <c r="G70" s="135">
        <f>G71/G72</f>
        <v>0.14539183685544391</v>
      </c>
    </row>
    <row r="71" spans="1:7" x14ac:dyDescent="0.3">
      <c r="B71" s="1" t="s">
        <v>12</v>
      </c>
      <c r="C71" s="132">
        <f>C48</f>
        <v>117950</v>
      </c>
      <c r="G71" s="132">
        <f>C71</f>
        <v>117950</v>
      </c>
    </row>
    <row r="72" spans="1:7" x14ac:dyDescent="0.3">
      <c r="B72" s="1" t="s">
        <v>10</v>
      </c>
      <c r="C72" s="132">
        <f>C49</f>
        <v>816256</v>
      </c>
      <c r="D72" s="132">
        <f>D67</f>
        <v>-5000</v>
      </c>
      <c r="E72" s="1" t="str">
        <f>E67</f>
        <v>inventory decrease</v>
      </c>
      <c r="G72" s="132">
        <f>C72+D72</f>
        <v>811256</v>
      </c>
    </row>
    <row r="74" spans="1:7" ht="82.05" customHeight="1" x14ac:dyDescent="0.3">
      <c r="A74" s="330" t="s">
        <v>236</v>
      </c>
      <c r="B74" s="330"/>
      <c r="C74" s="330"/>
      <c r="D74" s="330"/>
      <c r="E74" s="330"/>
      <c r="F74" s="330"/>
      <c r="G74" s="330"/>
    </row>
    <row r="75" spans="1:7" x14ac:dyDescent="0.3">
      <c r="A75" s="58"/>
      <c r="B75" s="58"/>
      <c r="E75" s="58"/>
      <c r="F75" s="58"/>
      <c r="G75" s="58"/>
    </row>
    <row r="76" spans="1:7" s="231" customFormat="1" ht="61.2" customHeight="1" x14ac:dyDescent="0.3">
      <c r="A76" s="257" t="s">
        <v>23</v>
      </c>
      <c r="B76" s="328" t="s">
        <v>278</v>
      </c>
      <c r="C76" s="328"/>
      <c r="D76" s="328"/>
      <c r="E76" s="328"/>
      <c r="F76" s="328"/>
      <c r="G76" s="328"/>
    </row>
    <row r="77" spans="1:7" x14ac:dyDescent="0.3">
      <c r="A77" s="131"/>
      <c r="B77" s="145"/>
      <c r="C77" s="145"/>
      <c r="D77" s="145"/>
      <c r="E77" s="145"/>
      <c r="F77" s="145"/>
      <c r="G77" s="145"/>
    </row>
    <row r="78" spans="1:7" x14ac:dyDescent="0.3">
      <c r="A78" s="124" t="s">
        <v>110</v>
      </c>
      <c r="B78" s="58"/>
    </row>
    <row r="79" spans="1:7" x14ac:dyDescent="0.3">
      <c r="A79" s="1" t="str">
        <f>'Tutorial 4 Sol'!A25</f>
        <v>Marketing Expense</v>
      </c>
      <c r="C79" s="132">
        <f>D81/6*5</f>
        <v>1300</v>
      </c>
      <c r="D79" s="132"/>
    </row>
    <row r="80" spans="1:7" x14ac:dyDescent="0.3">
      <c r="A80" s="1" t="s">
        <v>233</v>
      </c>
      <c r="C80" s="132">
        <f>D81-C79</f>
        <v>260</v>
      </c>
      <c r="D80" s="132"/>
    </row>
    <row r="81" spans="1:7" x14ac:dyDescent="0.3">
      <c r="B81" s="1" t="s">
        <v>8</v>
      </c>
      <c r="C81" s="132"/>
      <c r="D81" s="132">
        <v>1560</v>
      </c>
    </row>
    <row r="82" spans="1:7" x14ac:dyDescent="0.3">
      <c r="C82" s="132"/>
      <c r="D82" s="132"/>
    </row>
    <row r="83" spans="1:7" x14ac:dyDescent="0.3">
      <c r="A83" s="124" t="s">
        <v>111</v>
      </c>
      <c r="C83" s="132"/>
      <c r="D83" s="132"/>
    </row>
    <row r="84" spans="1:7" ht="28.8" x14ac:dyDescent="0.3">
      <c r="C84" s="113" t="str">
        <f>C59</f>
        <v>From Tutorial 4 Part (5)</v>
      </c>
      <c r="D84" s="329" t="s">
        <v>112</v>
      </c>
      <c r="E84" s="329"/>
      <c r="F84" s="329"/>
      <c r="G84" s="105" t="s">
        <v>113</v>
      </c>
    </row>
    <row r="85" spans="1:7" x14ac:dyDescent="0.3">
      <c r="A85" s="28" t="s">
        <v>72</v>
      </c>
      <c r="B85" s="28" t="s">
        <v>73</v>
      </c>
      <c r="C85" s="135">
        <f>C86/C87</f>
        <v>0.13651085406433211</v>
      </c>
      <c r="G85" s="135">
        <f>G86/G87</f>
        <v>0.13239106322294406</v>
      </c>
    </row>
    <row r="86" spans="1:7" x14ac:dyDescent="0.3">
      <c r="B86" s="1" t="s">
        <v>59</v>
      </c>
      <c r="C86" s="132">
        <f>C61</f>
        <v>43076</v>
      </c>
      <c r="D86" s="132">
        <f>-C79</f>
        <v>-1300</v>
      </c>
      <c r="E86" s="1" t="s">
        <v>114</v>
      </c>
      <c r="G86" s="132">
        <f>C86+D86</f>
        <v>41776</v>
      </c>
    </row>
    <row r="87" spans="1:7" x14ac:dyDescent="0.3">
      <c r="B87" s="1" t="s">
        <v>74</v>
      </c>
      <c r="C87" s="132">
        <f>C62</f>
        <v>315550</v>
      </c>
      <c r="D87" s="132"/>
      <c r="G87" s="132">
        <f>C87+D87</f>
        <v>315550</v>
      </c>
    </row>
    <row r="89" spans="1:7" x14ac:dyDescent="0.3">
      <c r="A89" s="28" t="s">
        <v>75</v>
      </c>
      <c r="B89" s="28" t="s">
        <v>76</v>
      </c>
      <c r="C89" s="135">
        <f>C90/C93</f>
        <v>6.6780044121089607E-2</v>
      </c>
      <c r="G89" s="135">
        <f>G90/G93</f>
        <v>6.4751624758010648E-2</v>
      </c>
    </row>
    <row r="90" spans="1:7" x14ac:dyDescent="0.3">
      <c r="B90" s="1" t="s">
        <v>59</v>
      </c>
      <c r="C90" s="132">
        <f>C65</f>
        <v>43076</v>
      </c>
      <c r="D90" s="132">
        <f>D86</f>
        <v>-1300</v>
      </c>
      <c r="E90" s="1" t="str">
        <f>E86</f>
        <v>decrease</v>
      </c>
      <c r="G90" s="132">
        <f>C90+D90</f>
        <v>41776</v>
      </c>
    </row>
    <row r="91" spans="1:7" x14ac:dyDescent="0.3">
      <c r="B91" s="1" t="s">
        <v>77</v>
      </c>
      <c r="C91" s="132">
        <f>C66</f>
        <v>473830</v>
      </c>
      <c r="D91" s="132"/>
      <c r="G91" s="132">
        <f>C91+D91</f>
        <v>473830</v>
      </c>
    </row>
    <row r="92" spans="1:7" x14ac:dyDescent="0.3">
      <c r="B92" s="1" t="s">
        <v>78</v>
      </c>
      <c r="C92" s="132">
        <f>C67</f>
        <v>816256</v>
      </c>
      <c r="D92" s="132">
        <f>C80</f>
        <v>260</v>
      </c>
      <c r="E92" s="1" t="s">
        <v>130</v>
      </c>
      <c r="G92" s="132">
        <f>C92+D92</f>
        <v>816516</v>
      </c>
    </row>
    <row r="93" spans="1:7" x14ac:dyDescent="0.3">
      <c r="B93" s="1" t="s">
        <v>79</v>
      </c>
      <c r="C93" s="132">
        <f>C68</f>
        <v>645043</v>
      </c>
      <c r="G93" s="132">
        <f>SUM(G91:G92)/2</f>
        <v>645173</v>
      </c>
    </row>
    <row r="95" spans="1:7" x14ac:dyDescent="0.3">
      <c r="A95" s="28" t="s">
        <v>80</v>
      </c>
      <c r="B95" s="28" t="s">
        <v>31</v>
      </c>
      <c r="C95" s="135">
        <f>C96/C97</f>
        <v>0.14450123490669595</v>
      </c>
      <c r="G95" s="135">
        <f>G96/G97</f>
        <v>0.14641240003136272</v>
      </c>
    </row>
    <row r="96" spans="1:7" x14ac:dyDescent="0.3">
      <c r="B96" s="1" t="s">
        <v>12</v>
      </c>
      <c r="C96" s="132">
        <f>C71</f>
        <v>117950</v>
      </c>
      <c r="D96" s="132">
        <f>D81</f>
        <v>1560</v>
      </c>
      <c r="E96" s="1" t="s">
        <v>130</v>
      </c>
      <c r="G96" s="132">
        <f>C96+D96</f>
        <v>119510</v>
      </c>
    </row>
    <row r="97" spans="1:12" x14ac:dyDescent="0.3">
      <c r="B97" s="1" t="s">
        <v>10</v>
      </c>
      <c r="C97" s="132">
        <f>C72</f>
        <v>816256</v>
      </c>
      <c r="D97" s="132"/>
      <c r="G97" s="132">
        <f>C97+D97</f>
        <v>816256</v>
      </c>
      <c r="J97" s="137"/>
    </row>
    <row r="98" spans="1:12" x14ac:dyDescent="0.3">
      <c r="K98" s="137"/>
    </row>
    <row r="99" spans="1:12" ht="61.2" customHeight="1" x14ac:dyDescent="0.3">
      <c r="A99" s="330" t="s">
        <v>267</v>
      </c>
      <c r="B99" s="330"/>
      <c r="C99" s="330"/>
      <c r="D99" s="330"/>
      <c r="E99" s="330"/>
      <c r="F99" s="330"/>
      <c r="G99" s="330"/>
    </row>
    <row r="101" spans="1:12" s="231" customFormat="1" ht="68.400000000000006" customHeight="1" x14ac:dyDescent="0.3">
      <c r="A101" s="257" t="s">
        <v>24</v>
      </c>
      <c r="B101" s="328" t="s">
        <v>237</v>
      </c>
      <c r="C101" s="328"/>
      <c r="D101" s="328"/>
      <c r="E101" s="328"/>
      <c r="F101" s="328"/>
      <c r="G101" s="328"/>
    </row>
    <row r="102" spans="1:12" x14ac:dyDescent="0.3">
      <c r="A102" s="124" t="s">
        <v>110</v>
      </c>
      <c r="B102" s="58"/>
      <c r="L102" s="252"/>
    </row>
    <row r="103" spans="1:12" x14ac:dyDescent="0.3">
      <c r="A103" s="1" t="s">
        <v>280</v>
      </c>
      <c r="C103" s="132">
        <v>100000</v>
      </c>
      <c r="D103" s="132"/>
    </row>
    <row r="104" spans="1:12" x14ac:dyDescent="0.3">
      <c r="B104" s="1" t="str">
        <f>'Tutorial 2 Sol'!N21</f>
        <v>Property Plant and Equipment (PPE)</v>
      </c>
      <c r="C104" s="132"/>
      <c r="D104" s="132">
        <f>C103</f>
        <v>100000</v>
      </c>
    </row>
    <row r="105" spans="1:12" x14ac:dyDescent="0.3">
      <c r="A105" s="258" t="s">
        <v>279</v>
      </c>
      <c r="C105" s="132"/>
      <c r="D105" s="132"/>
    </row>
    <row r="106" spans="1:12" x14ac:dyDescent="0.3">
      <c r="C106" s="132"/>
      <c r="D106" s="132"/>
    </row>
    <row r="107" spans="1:12" x14ac:dyDescent="0.3">
      <c r="A107" s="124" t="s">
        <v>111</v>
      </c>
      <c r="C107" s="132"/>
      <c r="D107" s="132"/>
    </row>
    <row r="108" spans="1:12" ht="28.8" x14ac:dyDescent="0.3">
      <c r="C108" s="113" t="s">
        <v>132</v>
      </c>
      <c r="D108" s="329" t="s">
        <v>112</v>
      </c>
      <c r="E108" s="329"/>
      <c r="F108" s="329"/>
      <c r="G108" s="105" t="s">
        <v>113</v>
      </c>
    </row>
    <row r="109" spans="1:12" x14ac:dyDescent="0.3">
      <c r="A109" s="28" t="s">
        <v>72</v>
      </c>
      <c r="B109" s="28" t="s">
        <v>73</v>
      </c>
      <c r="C109" s="135">
        <f>C110/C111</f>
        <v>0.13651085406433211</v>
      </c>
      <c r="G109" s="135">
        <f>G110/G111</f>
        <v>0.13651085406433211</v>
      </c>
    </row>
    <row r="110" spans="1:12" x14ac:dyDescent="0.3">
      <c r="B110" s="1" t="s">
        <v>59</v>
      </c>
      <c r="C110" s="132">
        <f>C86</f>
        <v>43076</v>
      </c>
      <c r="D110" s="132"/>
      <c r="G110" s="132">
        <f>C110+D110+D111</f>
        <v>43076</v>
      </c>
    </row>
    <row r="111" spans="1:12" x14ac:dyDescent="0.3">
      <c r="B111" s="1" t="s">
        <v>74</v>
      </c>
      <c r="C111" s="132">
        <f>C87</f>
        <v>315550</v>
      </c>
      <c r="D111" s="132"/>
      <c r="G111" s="132">
        <f>C111+D111+D112</f>
        <v>315550</v>
      </c>
    </row>
    <row r="112" spans="1:12" x14ac:dyDescent="0.3">
      <c r="C112" s="132"/>
      <c r="D112" s="132"/>
      <c r="G112" s="132"/>
    </row>
    <row r="114" spans="1:12" x14ac:dyDescent="0.3">
      <c r="A114" s="28" t="s">
        <v>75</v>
      </c>
      <c r="B114" s="28" t="s">
        <v>76</v>
      </c>
      <c r="C114" s="135">
        <f>C115/C119</f>
        <v>6.6780044121089607E-2</v>
      </c>
      <c r="G114" s="135">
        <f>G115/G119</f>
        <v>6.6780044121089607E-2</v>
      </c>
    </row>
    <row r="115" spans="1:12" x14ac:dyDescent="0.3">
      <c r="B115" s="1" t="s">
        <v>59</v>
      </c>
      <c r="C115" s="132">
        <f>C90</f>
        <v>43076</v>
      </c>
      <c r="D115" s="132"/>
      <c r="G115" s="132">
        <f>C115+D115</f>
        <v>43076</v>
      </c>
    </row>
    <row r="116" spans="1:12" x14ac:dyDescent="0.3">
      <c r="B116" s="1" t="s">
        <v>77</v>
      </c>
      <c r="C116" s="132">
        <f>C91</f>
        <v>473830</v>
      </c>
      <c r="G116" s="132">
        <f>C116+D116</f>
        <v>473830</v>
      </c>
    </row>
    <row r="117" spans="1:12" x14ac:dyDescent="0.3">
      <c r="B117" s="1" t="s">
        <v>78</v>
      </c>
      <c r="C117" s="132">
        <f>C92</f>
        <v>816256</v>
      </c>
      <c r="D117" s="132">
        <f>-D104</f>
        <v>-100000</v>
      </c>
      <c r="E117" s="1" t="s">
        <v>238</v>
      </c>
      <c r="G117" s="132">
        <f>C117+D117+D118</f>
        <v>816256</v>
      </c>
    </row>
    <row r="118" spans="1:12" x14ac:dyDescent="0.3">
      <c r="C118" s="132"/>
      <c r="D118" s="132">
        <f>C103</f>
        <v>100000</v>
      </c>
      <c r="E118" s="1" t="s">
        <v>239</v>
      </c>
      <c r="G118" s="132"/>
    </row>
    <row r="119" spans="1:12" x14ac:dyDescent="0.3">
      <c r="B119" s="1" t="s">
        <v>79</v>
      </c>
      <c r="C119" s="132">
        <f>C93</f>
        <v>645043</v>
      </c>
      <c r="G119" s="132">
        <f>SUM(G116:G117)/2</f>
        <v>645043</v>
      </c>
    </row>
    <row r="121" spans="1:12" x14ac:dyDescent="0.3">
      <c r="A121" s="28" t="s">
        <v>80</v>
      </c>
      <c r="B121" s="28" t="s">
        <v>31</v>
      </c>
      <c r="C121" s="135">
        <f>C122/C123</f>
        <v>0.14450123490669595</v>
      </c>
      <c r="G121" s="135">
        <f>G122/G123</f>
        <v>0.14450123490669595</v>
      </c>
    </row>
    <row r="122" spans="1:12" x14ac:dyDescent="0.3">
      <c r="B122" s="1" t="s">
        <v>12</v>
      </c>
      <c r="C122" s="132">
        <f>C96</f>
        <v>117950</v>
      </c>
      <c r="D122" s="132"/>
      <c r="G122" s="132">
        <f>C122+D122</f>
        <v>117950</v>
      </c>
    </row>
    <row r="123" spans="1:12" x14ac:dyDescent="0.3">
      <c r="B123" s="1" t="s">
        <v>10</v>
      </c>
      <c r="C123" s="132">
        <f>C97</f>
        <v>816256</v>
      </c>
      <c r="D123" s="132">
        <v>0</v>
      </c>
      <c r="E123" s="1" t="s">
        <v>240</v>
      </c>
      <c r="G123" s="132">
        <f>C123+D123</f>
        <v>816256</v>
      </c>
      <c r="J123" s="137"/>
    </row>
    <row r="124" spans="1:12" x14ac:dyDescent="0.3">
      <c r="K124" s="137"/>
    </row>
    <row r="125" spans="1:12" ht="90" customHeight="1" x14ac:dyDescent="0.3">
      <c r="A125" s="330" t="s">
        <v>241</v>
      </c>
      <c r="B125" s="330"/>
      <c r="C125" s="330"/>
      <c r="D125" s="330"/>
      <c r="E125" s="330"/>
      <c r="F125" s="330"/>
      <c r="G125" s="330"/>
    </row>
    <row r="127" spans="1:12" s="231" customFormat="1" ht="21.6" customHeight="1" x14ac:dyDescent="0.3">
      <c r="A127" s="257" t="s">
        <v>34</v>
      </c>
      <c r="B127" s="328" t="s">
        <v>242</v>
      </c>
      <c r="C127" s="328"/>
      <c r="D127" s="328"/>
      <c r="E127" s="328"/>
      <c r="F127" s="328"/>
      <c r="G127" s="328"/>
    </row>
    <row r="128" spans="1:12" x14ac:dyDescent="0.3">
      <c r="A128" s="124" t="s">
        <v>110</v>
      </c>
      <c r="B128" s="58"/>
      <c r="L128" s="252"/>
    </row>
    <row r="129" spans="1:7" x14ac:dyDescent="0.3">
      <c r="A129" s="1" t="s">
        <v>1</v>
      </c>
      <c r="C129" s="132">
        <v>50000</v>
      </c>
      <c r="D129" s="132"/>
    </row>
    <row r="130" spans="1:7" x14ac:dyDescent="0.3">
      <c r="B130" s="1" t="s">
        <v>116</v>
      </c>
      <c r="C130" s="132"/>
      <c r="D130" s="132">
        <f>C129</f>
        <v>50000</v>
      </c>
    </row>
    <row r="131" spans="1:7" x14ac:dyDescent="0.3">
      <c r="C131" s="132"/>
      <c r="D131" s="132"/>
    </row>
    <row r="132" spans="1:7" x14ac:dyDescent="0.3">
      <c r="A132" s="124" t="s">
        <v>111</v>
      </c>
      <c r="C132" s="132"/>
      <c r="D132" s="132"/>
    </row>
    <row r="133" spans="1:7" ht="28.8" x14ac:dyDescent="0.3">
      <c r="C133" s="113" t="s">
        <v>132</v>
      </c>
      <c r="D133" s="329" t="s">
        <v>112</v>
      </c>
      <c r="E133" s="329"/>
      <c r="F133" s="329"/>
      <c r="G133" s="105" t="s">
        <v>113</v>
      </c>
    </row>
    <row r="134" spans="1:7" x14ac:dyDescent="0.3">
      <c r="A134" s="28" t="s">
        <v>72</v>
      </c>
      <c r="B134" s="28" t="s">
        <v>73</v>
      </c>
      <c r="C134" s="135">
        <f>C135/C136</f>
        <v>0.13651085406433211</v>
      </c>
      <c r="G134" s="135">
        <f>G135/G136</f>
        <v>0.13651085406433211</v>
      </c>
    </row>
    <row r="135" spans="1:7" x14ac:dyDescent="0.3">
      <c r="B135" s="1" t="s">
        <v>59</v>
      </c>
      <c r="C135" s="132">
        <f>C110</f>
        <v>43076</v>
      </c>
      <c r="D135" s="132"/>
      <c r="G135" s="132">
        <f>C135+D135+D136</f>
        <v>43076</v>
      </c>
    </row>
    <row r="136" spans="1:7" x14ac:dyDescent="0.3">
      <c r="B136" s="1" t="s">
        <v>74</v>
      </c>
      <c r="C136" s="132">
        <f>C111</f>
        <v>315550</v>
      </c>
      <c r="D136" s="132"/>
      <c r="G136" s="132">
        <f>C136+D136+D137</f>
        <v>315550</v>
      </c>
    </row>
    <row r="137" spans="1:7" x14ac:dyDescent="0.3">
      <c r="C137" s="132"/>
      <c r="D137" s="132"/>
      <c r="G137" s="132"/>
    </row>
    <row r="139" spans="1:7" x14ac:dyDescent="0.3">
      <c r="A139" s="28" t="s">
        <v>75</v>
      </c>
      <c r="B139" s="28" t="s">
        <v>76</v>
      </c>
      <c r="C139" s="135">
        <f>C140/C143</f>
        <v>6.6780044121089607E-2</v>
      </c>
      <c r="G139" s="135">
        <f>G140/G143</f>
        <v>5.2772659557785789E-2</v>
      </c>
    </row>
    <row r="140" spans="1:7" x14ac:dyDescent="0.3">
      <c r="B140" s="1" t="s">
        <v>59</v>
      </c>
      <c r="C140" s="132">
        <f>C115</f>
        <v>43076</v>
      </c>
      <c r="D140" s="132"/>
      <c r="G140" s="132">
        <f>C140+D140</f>
        <v>43076</v>
      </c>
    </row>
    <row r="141" spans="1:7" x14ac:dyDescent="0.3">
      <c r="B141" s="1" t="s">
        <v>77</v>
      </c>
      <c r="C141" s="132">
        <f>C117</f>
        <v>816256</v>
      </c>
      <c r="G141" s="132">
        <f>C141+D141</f>
        <v>816256</v>
      </c>
    </row>
    <row r="142" spans="1:7" x14ac:dyDescent="0.3">
      <c r="B142" s="1" t="s">
        <v>78</v>
      </c>
      <c r="C142" s="132">
        <f>C117</f>
        <v>816256</v>
      </c>
      <c r="D142" s="132"/>
      <c r="G142" s="132">
        <f>C142+D142</f>
        <v>816256</v>
      </c>
    </row>
    <row r="143" spans="1:7" x14ac:dyDescent="0.3">
      <c r="B143" s="1" t="s">
        <v>79</v>
      </c>
      <c r="C143" s="132">
        <f>C119</f>
        <v>645043</v>
      </c>
      <c r="G143" s="132">
        <f>SUM(G141:G142)/2</f>
        <v>816256</v>
      </c>
    </row>
    <row r="145" spans="1:11" x14ac:dyDescent="0.3">
      <c r="A145" s="28" t="s">
        <v>80</v>
      </c>
      <c r="B145" s="28" t="s">
        <v>31</v>
      </c>
      <c r="C145" s="135">
        <f>C146/C147</f>
        <v>0.14450123490669595</v>
      </c>
      <c r="G145" s="135">
        <f>G146/G147</f>
        <v>0.20575652736396424</v>
      </c>
    </row>
    <row r="146" spans="1:11" x14ac:dyDescent="0.3">
      <c r="B146" s="1" t="s">
        <v>12</v>
      </c>
      <c r="C146" s="132">
        <f>C122</f>
        <v>117950</v>
      </c>
      <c r="D146" s="132">
        <f>D130</f>
        <v>50000</v>
      </c>
      <c r="E146" s="1" t="s">
        <v>130</v>
      </c>
      <c r="G146" s="132">
        <f>C146+D146</f>
        <v>167950</v>
      </c>
    </row>
    <row r="147" spans="1:11" x14ac:dyDescent="0.3">
      <c r="B147" s="1" t="s">
        <v>10</v>
      </c>
      <c r="C147" s="132">
        <f>C123</f>
        <v>816256</v>
      </c>
      <c r="D147" s="132"/>
      <c r="G147" s="132">
        <f>C147+D147</f>
        <v>816256</v>
      </c>
      <c r="J147" s="137"/>
    </row>
    <row r="148" spans="1:11" x14ac:dyDescent="0.3">
      <c r="K148" s="137"/>
    </row>
    <row r="149" spans="1:11" ht="82.8" customHeight="1" x14ac:dyDescent="0.3">
      <c r="A149" s="330" t="s">
        <v>243</v>
      </c>
      <c r="B149" s="330"/>
      <c r="C149" s="330"/>
      <c r="D149" s="330"/>
      <c r="E149" s="330"/>
      <c r="F149" s="330"/>
      <c r="G149" s="330"/>
    </row>
  </sheetData>
  <mergeCells count="18">
    <mergeCell ref="B3:G3"/>
    <mergeCell ref="D13:F13"/>
    <mergeCell ref="A28:G28"/>
    <mergeCell ref="A74:G74"/>
    <mergeCell ref="B30:G30"/>
    <mergeCell ref="D36:F36"/>
    <mergeCell ref="A51:G51"/>
    <mergeCell ref="B53:G53"/>
    <mergeCell ref="D59:F59"/>
    <mergeCell ref="B127:G127"/>
    <mergeCell ref="D133:F133"/>
    <mergeCell ref="A149:G149"/>
    <mergeCell ref="B76:G76"/>
    <mergeCell ref="D84:F84"/>
    <mergeCell ref="A99:G99"/>
    <mergeCell ref="B101:G101"/>
    <mergeCell ref="D108:F108"/>
    <mergeCell ref="A125:G125"/>
  </mergeCells>
  <pageMargins left="0.7" right="0.7" top="0.75" bottom="0.75" header="0.3" footer="0.3"/>
  <pageSetup orientation="portrait" horizontalDpi="4294967295" verticalDpi="4294967295"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F350FC-5A5C-47A6-B8BE-83CDA778213C}">
  <dimension ref="A1:F69"/>
  <sheetViews>
    <sheetView zoomScale="104" zoomScaleNormal="104" workbookViewId="0">
      <selection activeCell="D18" sqref="D18"/>
    </sheetView>
  </sheetViews>
  <sheetFormatPr defaultColWidth="8.88671875" defaultRowHeight="14.4" x14ac:dyDescent="0.3"/>
  <cols>
    <col min="1" max="1" width="3.88671875" style="1" customWidth="1"/>
    <col min="2" max="2" width="44.44140625" style="1" bestFit="1" customWidth="1"/>
    <col min="3" max="5" width="19.5546875" style="1" customWidth="1"/>
    <col min="6" max="6" width="14.88671875" style="1" customWidth="1"/>
    <col min="7" max="16384" width="8.88671875" style="1"/>
  </cols>
  <sheetData>
    <row r="1" spans="1:6" ht="18" x14ac:dyDescent="0.35">
      <c r="A1" s="67" t="s">
        <v>277</v>
      </c>
    </row>
    <row r="2" spans="1:6" x14ac:dyDescent="0.3">
      <c r="C2" s="120"/>
      <c r="D2" s="120"/>
    </row>
    <row r="3" spans="1:6" x14ac:dyDescent="0.3">
      <c r="A3" s="6" t="s">
        <v>26</v>
      </c>
      <c r="B3" s="6"/>
      <c r="C3" s="7"/>
      <c r="D3" s="7"/>
      <c r="E3" s="7"/>
      <c r="F3" s="7"/>
    </row>
    <row r="4" spans="1:6" x14ac:dyDescent="0.3">
      <c r="B4" s="294" t="s">
        <v>108</v>
      </c>
      <c r="C4" s="295"/>
      <c r="D4" s="295"/>
      <c r="E4" s="296"/>
    </row>
    <row r="5" spans="1:6" ht="28.8" x14ac:dyDescent="0.3">
      <c r="B5" s="23" t="s">
        <v>107</v>
      </c>
      <c r="C5" s="130" t="s">
        <v>133</v>
      </c>
      <c r="D5" s="130" t="s">
        <v>106</v>
      </c>
      <c r="E5" s="130" t="s">
        <v>105</v>
      </c>
    </row>
    <row r="6" spans="1:6" x14ac:dyDescent="0.3">
      <c r="B6" s="66" t="s">
        <v>104</v>
      </c>
      <c r="C6" s="128">
        <v>29050</v>
      </c>
      <c r="D6" s="127">
        <v>0.02</v>
      </c>
      <c r="E6" s="128">
        <f>C6*D6</f>
        <v>581</v>
      </c>
    </row>
    <row r="7" spans="1:6" x14ac:dyDescent="0.3">
      <c r="B7" s="66" t="s">
        <v>245</v>
      </c>
      <c r="C7" s="128">
        <v>2800</v>
      </c>
      <c r="D7" s="127">
        <v>0.15</v>
      </c>
      <c r="E7" s="128">
        <f>C7*D7</f>
        <v>420</v>
      </c>
    </row>
    <row r="8" spans="1:6" x14ac:dyDescent="0.3">
      <c r="B8" s="129" t="s">
        <v>103</v>
      </c>
      <c r="C8" s="128">
        <v>1600</v>
      </c>
      <c r="D8" s="127">
        <v>0.25</v>
      </c>
      <c r="E8" s="128">
        <f>C8*D8</f>
        <v>400</v>
      </c>
    </row>
    <row r="9" spans="1:6" x14ac:dyDescent="0.3">
      <c r="B9" s="129" t="s">
        <v>102</v>
      </c>
      <c r="C9" s="128">
        <v>350</v>
      </c>
      <c r="D9" s="127">
        <v>0.4</v>
      </c>
      <c r="E9" s="128">
        <f>C9*D9</f>
        <v>140</v>
      </c>
    </row>
    <row r="10" spans="1:6" x14ac:dyDescent="0.3">
      <c r="B10" s="23" t="s">
        <v>53</v>
      </c>
      <c r="C10" s="126">
        <f>SUM(C6:C9)</f>
        <v>33800</v>
      </c>
      <c r="D10" s="126"/>
      <c r="E10" s="126">
        <f>SUM(E6:E9)</f>
        <v>1541</v>
      </c>
    </row>
    <row r="11" spans="1:6" x14ac:dyDescent="0.3">
      <c r="C11" s="53"/>
      <c r="D11" s="53"/>
    </row>
    <row r="12" spans="1:6" x14ac:dyDescent="0.3">
      <c r="B12" s="124" t="s">
        <v>101</v>
      </c>
      <c r="C12" s="53"/>
      <c r="D12" s="53"/>
    </row>
    <row r="13" spans="1:6" x14ac:dyDescent="0.3">
      <c r="B13" s="1" t="s">
        <v>246</v>
      </c>
      <c r="D13" s="102">
        <v>0</v>
      </c>
    </row>
    <row r="14" spans="1:6" x14ac:dyDescent="0.3">
      <c r="B14" s="1" t="s">
        <v>247</v>
      </c>
      <c r="D14" s="116">
        <f>E10</f>
        <v>1541</v>
      </c>
    </row>
    <row r="15" spans="1:6" ht="15" thickBot="1" x14ac:dyDescent="0.35">
      <c r="B15" s="28" t="s">
        <v>248</v>
      </c>
      <c r="D15" s="125">
        <f>D14-D13</f>
        <v>1541</v>
      </c>
    </row>
    <row r="16" spans="1:6" ht="15" thickTop="1" x14ac:dyDescent="0.3">
      <c r="C16" s="102"/>
    </row>
    <row r="17" spans="1:6" x14ac:dyDescent="0.3">
      <c r="B17" s="124" t="s">
        <v>100</v>
      </c>
    </row>
    <row r="18" spans="1:6" x14ac:dyDescent="0.3">
      <c r="B18" s="1" t="s">
        <v>99</v>
      </c>
      <c r="C18" s="53">
        <f>D15</f>
        <v>1541</v>
      </c>
    </row>
    <row r="19" spans="1:6" x14ac:dyDescent="0.3">
      <c r="B19" s="123" t="s">
        <v>98</v>
      </c>
      <c r="D19" s="53">
        <f>C18</f>
        <v>1541</v>
      </c>
    </row>
    <row r="21" spans="1:6" x14ac:dyDescent="0.3">
      <c r="A21" s="6" t="s">
        <v>27</v>
      </c>
      <c r="B21" s="6"/>
      <c r="C21" s="7"/>
      <c r="D21" s="7"/>
      <c r="E21" s="7"/>
      <c r="F21" s="7"/>
    </row>
    <row r="22" spans="1:6" x14ac:dyDescent="0.3">
      <c r="A22" s="28" t="s">
        <v>72</v>
      </c>
      <c r="B22" s="28" t="s">
        <v>59</v>
      </c>
    </row>
    <row r="23" spans="1:6" x14ac:dyDescent="0.3">
      <c r="B23" s="1" t="s">
        <v>134</v>
      </c>
      <c r="C23" s="102">
        <f>'Tutorial 4 Sol'!R20</f>
        <v>43076</v>
      </c>
    </row>
    <row r="24" spans="1:6" x14ac:dyDescent="0.3">
      <c r="B24" s="1" t="str">
        <f>B18</f>
        <v>Expected Credit Loss</v>
      </c>
      <c r="C24" s="281">
        <f>-D15</f>
        <v>-1541</v>
      </c>
    </row>
    <row r="25" spans="1:6" ht="15" thickBot="1" x14ac:dyDescent="0.35">
      <c r="B25" s="28" t="s">
        <v>97</v>
      </c>
      <c r="C25" s="115">
        <f>SUM(C23:C24)</f>
        <v>41535</v>
      </c>
    </row>
    <row r="26" spans="1:6" ht="15" thickTop="1" x14ac:dyDescent="0.3"/>
    <row r="27" spans="1:6" x14ac:dyDescent="0.3">
      <c r="A27" s="28" t="s">
        <v>75</v>
      </c>
      <c r="B27" s="28" t="s">
        <v>96</v>
      </c>
      <c r="C27" s="122" t="s">
        <v>95</v>
      </c>
      <c r="D27" s="121" t="s">
        <v>94</v>
      </c>
      <c r="E27" s="121" t="s">
        <v>93</v>
      </c>
    </row>
    <row r="28" spans="1:6" x14ac:dyDescent="0.3">
      <c r="B28" s="1" t="s">
        <v>249</v>
      </c>
      <c r="C28" s="120">
        <f>C10</f>
        <v>33800</v>
      </c>
      <c r="D28" s="102">
        <f>-D13</f>
        <v>0</v>
      </c>
      <c r="E28" s="119">
        <f>SUM(C28:D28)</f>
        <v>33800</v>
      </c>
    </row>
    <row r="29" spans="1:6" x14ac:dyDescent="0.3">
      <c r="B29" s="1" t="s">
        <v>92</v>
      </c>
      <c r="C29" s="120"/>
      <c r="D29" s="281">
        <f>-D15</f>
        <v>-1541</v>
      </c>
      <c r="E29" s="119"/>
    </row>
    <row r="30" spans="1:6" ht="15" thickBot="1" x14ac:dyDescent="0.35">
      <c r="B30" s="118" t="s">
        <v>250</v>
      </c>
      <c r="C30" s="117">
        <f>SUM(C28:C29)</f>
        <v>33800</v>
      </c>
      <c r="D30" s="282">
        <f>SUM(D28:D29)</f>
        <v>-1541</v>
      </c>
      <c r="E30" s="115">
        <f>SUM(C30:D30)</f>
        <v>32259</v>
      </c>
    </row>
    <row r="31" spans="1:6" ht="15" thickTop="1" x14ac:dyDescent="0.3"/>
    <row r="32" spans="1:6" x14ac:dyDescent="0.3">
      <c r="A32" s="28" t="s">
        <v>80</v>
      </c>
      <c r="B32" s="28" t="s">
        <v>10</v>
      </c>
    </row>
    <row r="33" spans="1:6" x14ac:dyDescent="0.3">
      <c r="B33" s="1" t="s">
        <v>135</v>
      </c>
      <c r="C33" s="102">
        <f>'Tutorial 4 Sol'!AE18</f>
        <v>816256</v>
      </c>
    </row>
    <row r="34" spans="1:6" x14ac:dyDescent="0.3">
      <c r="B34" s="1" t="s">
        <v>91</v>
      </c>
      <c r="C34" s="283">
        <f>-E28</f>
        <v>-33800</v>
      </c>
    </row>
    <row r="35" spans="1:6" x14ac:dyDescent="0.3">
      <c r="B35" s="1" t="s">
        <v>90</v>
      </c>
      <c r="C35" s="116">
        <f>E30</f>
        <v>32259</v>
      </c>
    </row>
    <row r="36" spans="1:6" ht="15" thickBot="1" x14ac:dyDescent="0.35">
      <c r="B36" s="1" t="s">
        <v>89</v>
      </c>
      <c r="C36" s="115">
        <f>SUM(C33:C35)</f>
        <v>814715</v>
      </c>
    </row>
    <row r="37" spans="1:6" ht="15" thickTop="1" x14ac:dyDescent="0.3"/>
    <row r="38" spans="1:6" x14ac:dyDescent="0.3">
      <c r="A38" s="6" t="s">
        <v>29</v>
      </c>
      <c r="B38" s="6"/>
      <c r="C38" s="7"/>
      <c r="D38" s="7"/>
      <c r="E38" s="7"/>
      <c r="F38" s="7"/>
    </row>
    <row r="39" spans="1:6" x14ac:dyDescent="0.3">
      <c r="B39" s="111"/>
      <c r="C39" s="110">
        <v>2025</v>
      </c>
    </row>
    <row r="40" spans="1:6" x14ac:dyDescent="0.3">
      <c r="B40" s="109" t="s">
        <v>88</v>
      </c>
      <c r="C40" s="108">
        <f>'Tutorial 4 Sol'!R7</f>
        <v>315550</v>
      </c>
    </row>
    <row r="41" spans="1:6" x14ac:dyDescent="0.3">
      <c r="B41" s="109" t="s">
        <v>87</v>
      </c>
      <c r="C41" s="108">
        <f>'TB @ 31 Dec 2024'!B4</f>
        <v>21700</v>
      </c>
    </row>
    <row r="42" spans="1:6" x14ac:dyDescent="0.3">
      <c r="B42" s="109" t="s">
        <v>86</v>
      </c>
      <c r="C42" s="108">
        <f>E30</f>
        <v>32259</v>
      </c>
    </row>
    <row r="43" spans="1:6" x14ac:dyDescent="0.3">
      <c r="B43" s="109" t="s">
        <v>85</v>
      </c>
      <c r="C43" s="108">
        <f>SUM(C41:C42)/2</f>
        <v>26979.5</v>
      </c>
    </row>
    <row r="44" spans="1:6" x14ac:dyDescent="0.3">
      <c r="B44" s="107" t="s">
        <v>84</v>
      </c>
      <c r="C44" s="106">
        <f>C40/C43</f>
        <v>11.69591727052021</v>
      </c>
    </row>
    <row r="45" spans="1:6" x14ac:dyDescent="0.3">
      <c r="B45" s="107" t="s">
        <v>83</v>
      </c>
      <c r="C45" s="106">
        <f>365/C44</f>
        <v>31.207471082237362</v>
      </c>
    </row>
    <row r="46" spans="1:6" x14ac:dyDescent="0.3">
      <c r="B46" s="153"/>
      <c r="C46" s="154"/>
    </row>
    <row r="47" spans="1:6" x14ac:dyDescent="0.3">
      <c r="A47" s="6" t="s">
        <v>28</v>
      </c>
      <c r="B47" s="6"/>
      <c r="C47" s="114"/>
      <c r="D47" s="114"/>
      <c r="E47" s="114"/>
      <c r="F47" s="114"/>
    </row>
    <row r="48" spans="1:6" x14ac:dyDescent="0.3">
      <c r="A48" s="28" t="s">
        <v>140</v>
      </c>
      <c r="B48" s="124" t="s">
        <v>100</v>
      </c>
      <c r="F48" s="112"/>
    </row>
    <row r="49" spans="1:6" x14ac:dyDescent="0.3">
      <c r="B49" s="1" t="s">
        <v>98</v>
      </c>
      <c r="C49" s="53">
        <v>2000</v>
      </c>
    </row>
    <row r="50" spans="1:6" x14ac:dyDescent="0.3">
      <c r="B50" s="123" t="s">
        <v>39</v>
      </c>
      <c r="D50" s="53">
        <f>C49</f>
        <v>2000</v>
      </c>
    </row>
    <row r="51" spans="1:6" x14ac:dyDescent="0.3">
      <c r="B51" s="123"/>
      <c r="D51" s="53"/>
    </row>
    <row r="52" spans="1:6" x14ac:dyDescent="0.3">
      <c r="A52" s="28" t="s">
        <v>75</v>
      </c>
      <c r="B52" s="124" t="s">
        <v>136</v>
      </c>
      <c r="F52" s="112"/>
    </row>
    <row r="53" spans="1:6" x14ac:dyDescent="0.3">
      <c r="B53" s="155" t="s">
        <v>137</v>
      </c>
      <c r="C53" s="102">
        <f>D19</f>
        <v>1541</v>
      </c>
    </row>
    <row r="54" spans="1:6" x14ac:dyDescent="0.3">
      <c r="B54" s="155" t="s">
        <v>138</v>
      </c>
      <c r="C54" s="283">
        <f>-C49</f>
        <v>-2000</v>
      </c>
      <c r="D54" s="53"/>
    </row>
    <row r="55" spans="1:6" ht="15" thickBot="1" x14ac:dyDescent="0.35">
      <c r="B55" s="155" t="s">
        <v>139</v>
      </c>
      <c r="C55" s="284">
        <f>C53+C54</f>
        <v>-459</v>
      </c>
      <c r="D55" s="53"/>
    </row>
    <row r="56" spans="1:6" ht="15" thickTop="1" x14ac:dyDescent="0.3">
      <c r="B56" s="123"/>
      <c r="D56" s="53"/>
    </row>
    <row r="57" spans="1:6" ht="93.45" customHeight="1" x14ac:dyDescent="0.3">
      <c r="A57" s="136" t="s">
        <v>80</v>
      </c>
      <c r="B57" s="331" t="s">
        <v>256</v>
      </c>
      <c r="C57" s="331"/>
      <c r="D57" s="331"/>
      <c r="E57" s="331"/>
      <c r="F57" s="331"/>
    </row>
    <row r="58" spans="1:6" x14ac:dyDescent="0.3">
      <c r="A58" s="136" t="s">
        <v>251</v>
      </c>
      <c r="B58" s="331" t="s">
        <v>253</v>
      </c>
      <c r="C58" s="331"/>
      <c r="D58" s="331"/>
      <c r="E58" s="331"/>
      <c r="F58" s="331"/>
    </row>
    <row r="59" spans="1:6" x14ac:dyDescent="0.3">
      <c r="A59" s="136"/>
      <c r="B59" s="124" t="s">
        <v>101</v>
      </c>
      <c r="C59" s="53"/>
      <c r="D59" s="53"/>
    </row>
    <row r="60" spans="1:6" x14ac:dyDescent="0.3">
      <c r="B60" s="1" t="s">
        <v>252</v>
      </c>
      <c r="D60" s="283">
        <f>C55</f>
        <v>-459</v>
      </c>
    </row>
    <row r="61" spans="1:6" x14ac:dyDescent="0.3">
      <c r="B61" s="1" t="s">
        <v>254</v>
      </c>
      <c r="D61" s="116">
        <v>2100</v>
      </c>
    </row>
    <row r="62" spans="1:6" ht="15" thickBot="1" x14ac:dyDescent="0.35">
      <c r="B62" s="28" t="s">
        <v>255</v>
      </c>
      <c r="D62" s="125">
        <f>D61-D60</f>
        <v>2559</v>
      </c>
    </row>
    <row r="63" spans="1:6" ht="15" thickTop="1" x14ac:dyDescent="0.3">
      <c r="C63" s="102"/>
    </row>
    <row r="64" spans="1:6" ht="64.95" customHeight="1" x14ac:dyDescent="0.3">
      <c r="B64" s="331" t="s">
        <v>257</v>
      </c>
      <c r="C64" s="331"/>
      <c r="D64" s="331"/>
      <c r="E64" s="331"/>
      <c r="F64" s="331"/>
    </row>
    <row r="69" spans="2:6" x14ac:dyDescent="0.3">
      <c r="B69" s="331"/>
      <c r="C69" s="331"/>
      <c r="D69" s="331"/>
      <c r="E69" s="331"/>
      <c r="F69" s="331"/>
    </row>
  </sheetData>
  <mergeCells count="5">
    <mergeCell ref="B57:F57"/>
    <mergeCell ref="B4:E4"/>
    <mergeCell ref="B69:F69"/>
    <mergeCell ref="B58:F58"/>
    <mergeCell ref="B64:F64"/>
  </mergeCells>
  <pageMargins left="0.7" right="0.7" top="0.75" bottom="0.75" header="0.3" footer="0.3"/>
  <pageSetup orientation="portrait" horizontalDpi="4294967295" verticalDpi="4294967295"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FEC32-278B-4174-9AD1-488F83C4F182}">
  <dimension ref="A1:AA72"/>
  <sheetViews>
    <sheetView topLeftCell="L49" zoomScaleNormal="100" workbookViewId="0">
      <selection activeCell="AB50" sqref="AB50"/>
    </sheetView>
  </sheetViews>
  <sheetFormatPr defaultColWidth="8.88671875" defaultRowHeight="14.4" x14ac:dyDescent="0.3"/>
  <cols>
    <col min="1" max="1" width="4.6640625" style="58" customWidth="1"/>
    <col min="2" max="2" width="36.109375" style="58" customWidth="1"/>
    <col min="3" max="3" width="10.21875" style="1" bestFit="1" customWidth="1"/>
    <col min="4" max="4" width="12.109375" style="1" customWidth="1"/>
    <col min="5" max="5" width="8.77734375" style="58" customWidth="1"/>
    <col min="6" max="7" width="11" style="58" customWidth="1"/>
    <col min="8" max="8" width="11" style="1" customWidth="1"/>
    <col min="9" max="9" width="10.44140625" style="1" bestFit="1" customWidth="1"/>
    <col min="10" max="10" width="5.33203125" style="1" customWidth="1"/>
    <col min="11" max="11" width="4.6640625" style="1" customWidth="1"/>
    <col min="12" max="12" width="29.77734375" style="1" customWidth="1"/>
    <col min="13" max="13" width="10.44140625" style="1" customWidth="1"/>
    <col min="14" max="14" width="3.21875" style="1" customWidth="1"/>
    <col min="15" max="15" width="16.5546875" style="1" bestFit="1" customWidth="1"/>
    <col min="16" max="16" width="9.77734375" style="1" bestFit="1" customWidth="1"/>
    <col min="17" max="17" width="1.77734375" style="1" customWidth="1"/>
    <col min="18" max="18" width="9.77734375" style="1" customWidth="1"/>
    <col min="19" max="19" width="1.6640625" style="1" customWidth="1"/>
    <col min="20" max="20" width="10.88671875" style="1" bestFit="1" customWidth="1"/>
    <col min="21" max="21" width="1.21875" style="1" customWidth="1"/>
    <col min="22" max="22" width="10.88671875" style="1" bestFit="1" customWidth="1"/>
    <col min="23" max="23" width="2.88671875" style="1" customWidth="1"/>
    <col min="24" max="24" width="3.5546875" style="1" customWidth="1"/>
    <col min="25" max="25" width="36.21875" style="1" customWidth="1"/>
    <col min="26" max="26" width="13.5546875" style="1" customWidth="1"/>
    <col min="27" max="16384" width="8.88671875" style="1"/>
  </cols>
  <sheetData>
    <row r="1" spans="1:26" ht="18" x14ac:dyDescent="0.35">
      <c r="A1" s="67" t="s">
        <v>275</v>
      </c>
      <c r="B1" s="67"/>
      <c r="K1" s="67"/>
    </row>
    <row r="2" spans="1:26" x14ac:dyDescent="0.3">
      <c r="A2" s="6" t="s">
        <v>26</v>
      </c>
      <c r="B2" s="6"/>
      <c r="C2" s="103"/>
      <c r="D2" s="104"/>
      <c r="H2" s="97"/>
      <c r="I2" s="53"/>
      <c r="X2" s="101"/>
      <c r="Z2" s="102"/>
    </row>
    <row r="3" spans="1:26" x14ac:dyDescent="0.3">
      <c r="A3" s="28"/>
      <c r="B3" s="1" t="s">
        <v>258</v>
      </c>
      <c r="C3" s="97"/>
      <c r="D3" s="53">
        <f>'Tutorial 4 Sol'!AE13</f>
        <v>115740</v>
      </c>
      <c r="H3" s="97"/>
      <c r="I3" s="53"/>
      <c r="X3" s="101"/>
      <c r="Z3" s="102"/>
    </row>
    <row r="4" spans="1:26" x14ac:dyDescent="0.3">
      <c r="A4" s="28"/>
      <c r="B4" s="1" t="s">
        <v>259</v>
      </c>
      <c r="C4" s="97"/>
      <c r="D4" s="53">
        <v>108620</v>
      </c>
      <c r="H4" s="97"/>
      <c r="I4" s="53"/>
      <c r="X4" s="101"/>
      <c r="Z4" s="102"/>
    </row>
    <row r="5" spans="1:26" ht="15" thickBot="1" x14ac:dyDescent="0.35">
      <c r="A5" s="28"/>
      <c r="B5" s="1" t="s">
        <v>260</v>
      </c>
      <c r="C5" s="97"/>
      <c r="D5" s="253">
        <f>D3-D4</f>
        <v>7120</v>
      </c>
      <c r="H5" s="97"/>
      <c r="I5" s="53"/>
      <c r="X5" s="101"/>
      <c r="Z5" s="102"/>
    </row>
    <row r="6" spans="1:26" ht="15" thickTop="1" x14ac:dyDescent="0.3">
      <c r="A6" s="28"/>
      <c r="B6" s="28"/>
      <c r="C6" s="97"/>
      <c r="D6" s="53"/>
      <c r="H6" s="97"/>
      <c r="I6" s="53"/>
      <c r="X6" s="101"/>
      <c r="Z6" s="102"/>
    </row>
    <row r="7" spans="1:26" x14ac:dyDescent="0.3">
      <c r="A7" s="1"/>
      <c r="B7" s="124" t="s">
        <v>156</v>
      </c>
      <c r="H7" s="97"/>
      <c r="I7" s="53"/>
      <c r="X7" s="101"/>
      <c r="Z7" s="102"/>
    </row>
    <row r="8" spans="1:26" ht="15.45" customHeight="1" x14ac:dyDescent="0.3">
      <c r="A8" s="1"/>
      <c r="B8" s="1" t="s">
        <v>5</v>
      </c>
      <c r="C8" s="53">
        <f>D5</f>
        <v>7120</v>
      </c>
      <c r="H8" s="97"/>
      <c r="I8" s="53"/>
      <c r="X8" s="101"/>
      <c r="Z8" s="102"/>
    </row>
    <row r="9" spans="1:26" x14ac:dyDescent="0.3">
      <c r="A9" s="1"/>
      <c r="B9" s="123" t="s">
        <v>155</v>
      </c>
      <c r="D9" s="53">
        <f>C8</f>
        <v>7120</v>
      </c>
      <c r="H9" s="97"/>
      <c r="I9" s="53"/>
      <c r="X9" s="101"/>
      <c r="Z9" s="102"/>
    </row>
    <row r="10" spans="1:26" x14ac:dyDescent="0.3">
      <c r="A10" s="6" t="s">
        <v>27</v>
      </c>
      <c r="B10" s="6"/>
      <c r="C10" s="103"/>
      <c r="D10" s="104"/>
      <c r="H10" s="97"/>
      <c r="I10" s="53"/>
      <c r="X10" s="101"/>
      <c r="Z10" s="102"/>
    </row>
    <row r="11" spans="1:26" x14ac:dyDescent="0.3">
      <c r="A11" s="28"/>
      <c r="B11" s="1" t="s">
        <v>269</v>
      </c>
      <c r="C11" s="132">
        <f>-M41</f>
        <v>121054</v>
      </c>
      <c r="D11" s="101"/>
      <c r="H11" s="97"/>
      <c r="I11" s="53"/>
      <c r="J11" s="138"/>
    </row>
    <row r="12" spans="1:26" x14ac:dyDescent="0.3">
      <c r="A12" s="1"/>
      <c r="B12" s="1" t="s">
        <v>143</v>
      </c>
      <c r="C12" s="53">
        <f>'TB @ 31 Dec 2024'!B5</f>
        <v>102000</v>
      </c>
      <c r="H12" s="97"/>
      <c r="I12" s="53"/>
    </row>
    <row r="13" spans="1:26" x14ac:dyDescent="0.3">
      <c r="A13" s="1"/>
      <c r="B13" s="1" t="s">
        <v>270</v>
      </c>
      <c r="C13" s="53">
        <f>H43</f>
        <v>108620</v>
      </c>
      <c r="H13" s="97"/>
      <c r="I13" s="53"/>
    </row>
    <row r="14" spans="1:26" x14ac:dyDescent="0.3">
      <c r="A14" s="1"/>
      <c r="B14" s="1" t="s">
        <v>144</v>
      </c>
      <c r="C14" s="53">
        <f>SUM(C12:C13)/2</f>
        <v>105310</v>
      </c>
      <c r="H14" s="97"/>
      <c r="I14" s="53"/>
    </row>
    <row r="15" spans="1:26" x14ac:dyDescent="0.3">
      <c r="A15" s="1"/>
      <c r="B15" s="28" t="s">
        <v>142</v>
      </c>
      <c r="C15" s="156">
        <f>C11/C14</f>
        <v>1.1495014718450289</v>
      </c>
      <c r="H15" s="97"/>
      <c r="I15" s="53"/>
    </row>
    <row r="16" spans="1:26" x14ac:dyDescent="0.3">
      <c r="A16" s="1"/>
      <c r="B16" s="28" t="s">
        <v>145</v>
      </c>
      <c r="C16" s="158">
        <f>365/C15</f>
        <v>317.52895402051979</v>
      </c>
      <c r="H16" s="97"/>
      <c r="I16" s="53"/>
    </row>
    <row r="17" spans="1:9" x14ac:dyDescent="0.3">
      <c r="A17" s="1"/>
      <c r="B17" s="28"/>
      <c r="C17" s="156"/>
      <c r="H17" s="97"/>
      <c r="I17" s="53"/>
    </row>
    <row r="18" spans="1:9" x14ac:dyDescent="0.3">
      <c r="A18" s="6" t="s">
        <v>29</v>
      </c>
      <c r="B18" s="6"/>
      <c r="C18" s="103"/>
      <c r="D18" s="104"/>
      <c r="H18" s="97"/>
      <c r="I18" s="53"/>
    </row>
    <row r="19" spans="1:9" ht="28.8" x14ac:dyDescent="0.3">
      <c r="A19" s="136"/>
      <c r="B19" s="157" t="s">
        <v>271</v>
      </c>
      <c r="C19" s="156">
        <f>'Tutorial 6 Sol'!C45</f>
        <v>31.207471082237362</v>
      </c>
      <c r="H19" s="97"/>
      <c r="I19" s="53"/>
    </row>
    <row r="20" spans="1:9" x14ac:dyDescent="0.3">
      <c r="B20" s="28" t="s">
        <v>146</v>
      </c>
      <c r="C20" s="158">
        <f>C16+C19</f>
        <v>348.73642510275715</v>
      </c>
      <c r="H20" s="97"/>
      <c r="I20" s="53"/>
    </row>
    <row r="21" spans="1:9" x14ac:dyDescent="0.3">
      <c r="H21" s="97"/>
      <c r="I21" s="53"/>
    </row>
    <row r="22" spans="1:9" x14ac:dyDescent="0.3">
      <c r="A22" s="28"/>
      <c r="B22" s="1" t="s">
        <v>5</v>
      </c>
      <c r="C22" s="132">
        <f>C11</f>
        <v>121054</v>
      </c>
      <c r="H22" s="97"/>
      <c r="I22" s="53"/>
    </row>
    <row r="23" spans="1:9" x14ac:dyDescent="0.3">
      <c r="B23" s="2" t="s">
        <v>147</v>
      </c>
      <c r="C23" s="161">
        <f>C13-C12</f>
        <v>6620</v>
      </c>
      <c r="H23" s="97"/>
      <c r="I23" s="53"/>
    </row>
    <row r="24" spans="1:9" x14ac:dyDescent="0.3">
      <c r="B24" s="1" t="s">
        <v>148</v>
      </c>
      <c r="C24" s="53">
        <f>SUM(C22:C23)</f>
        <v>127674</v>
      </c>
      <c r="H24" s="97"/>
      <c r="I24" s="53"/>
    </row>
    <row r="25" spans="1:9" x14ac:dyDescent="0.3">
      <c r="B25" s="1" t="s">
        <v>149</v>
      </c>
      <c r="C25" s="53">
        <f>'TB @ 31 Dec 2024'!C6</f>
        <v>18600</v>
      </c>
      <c r="H25" s="97"/>
      <c r="I25" s="53"/>
    </row>
    <row r="26" spans="1:9" x14ac:dyDescent="0.3">
      <c r="B26" s="1" t="s">
        <v>150</v>
      </c>
      <c r="C26" s="53">
        <f>I46</f>
        <v>16850</v>
      </c>
      <c r="H26" s="97"/>
      <c r="I26" s="53"/>
    </row>
    <row r="27" spans="1:9" x14ac:dyDescent="0.3">
      <c r="B27" s="1" t="s">
        <v>151</v>
      </c>
      <c r="C27" s="53">
        <f>SUM(C25:C26)/2</f>
        <v>17725</v>
      </c>
      <c r="H27" s="97"/>
      <c r="I27" s="53"/>
    </row>
    <row r="28" spans="1:9" x14ac:dyDescent="0.3">
      <c r="B28" s="28" t="s">
        <v>152</v>
      </c>
      <c r="C28" s="158">
        <f>365/(C24/C27)</f>
        <v>50.673003117314408</v>
      </c>
      <c r="H28" s="97"/>
      <c r="I28" s="53"/>
    </row>
    <row r="30" spans="1:9" x14ac:dyDescent="0.3">
      <c r="B30" s="28" t="s">
        <v>153</v>
      </c>
      <c r="C30" s="135">
        <f>C20-C28</f>
        <v>298.06342198544274</v>
      </c>
    </row>
    <row r="31" spans="1:9" x14ac:dyDescent="0.3">
      <c r="B31" s="28"/>
      <c r="C31" s="135"/>
    </row>
    <row r="32" spans="1:9" ht="51" customHeight="1" x14ac:dyDescent="0.3">
      <c r="A32" s="330" t="s">
        <v>312</v>
      </c>
      <c r="B32" s="330"/>
      <c r="C32" s="330"/>
      <c r="D32" s="330"/>
      <c r="E32" s="330"/>
      <c r="F32" s="330"/>
      <c r="G32" s="330"/>
      <c r="H32" s="330"/>
      <c r="I32" s="330"/>
    </row>
    <row r="33" spans="1:26" x14ac:dyDescent="0.3">
      <c r="A33" s="148"/>
      <c r="B33" s="138"/>
      <c r="C33" s="138"/>
      <c r="D33" s="138"/>
      <c r="E33" s="138"/>
      <c r="F33" s="138"/>
      <c r="G33" s="138"/>
      <c r="H33" s="138"/>
      <c r="I33" s="138"/>
    </row>
    <row r="34" spans="1:26" s="231" customFormat="1" ht="18" x14ac:dyDescent="0.3">
      <c r="A34" s="232" t="s">
        <v>158</v>
      </c>
      <c r="B34" s="230"/>
      <c r="E34" s="230"/>
      <c r="F34" s="230"/>
      <c r="G34" s="230"/>
    </row>
    <row r="35" spans="1:26" s="231" customFormat="1" ht="15.6" x14ac:dyDescent="0.3">
      <c r="A35" s="233" t="s">
        <v>159</v>
      </c>
      <c r="B35" s="229"/>
      <c r="E35" s="229"/>
      <c r="F35" s="230"/>
      <c r="G35" s="230"/>
      <c r="K35" s="233" t="s">
        <v>154</v>
      </c>
    </row>
    <row r="36" spans="1:26" ht="27" customHeight="1" x14ac:dyDescent="0.3">
      <c r="A36" s="307"/>
      <c r="B36" s="308"/>
      <c r="C36" s="313" t="s">
        <v>261</v>
      </c>
      <c r="D36" s="312"/>
      <c r="E36" s="332" t="s">
        <v>262</v>
      </c>
      <c r="F36" s="333"/>
      <c r="G36" s="334"/>
      <c r="H36" s="313" t="s">
        <v>264</v>
      </c>
      <c r="I36" s="312"/>
      <c r="K36" s="314" t="s">
        <v>205</v>
      </c>
      <c r="L36" s="315"/>
      <c r="M36" s="316"/>
      <c r="O36" s="314" t="str">
        <f>K36</f>
        <v>Hunt3X Corporation</v>
      </c>
      <c r="P36" s="315"/>
      <c r="Q36" s="315"/>
      <c r="R36" s="315"/>
      <c r="S36" s="315"/>
      <c r="T36" s="315"/>
      <c r="U36" s="315"/>
      <c r="V36" s="316"/>
      <c r="X36" s="314" t="str">
        <f>O36</f>
        <v>Hunt3X Corporation</v>
      </c>
      <c r="Y36" s="315"/>
      <c r="Z36" s="316"/>
    </row>
    <row r="37" spans="1:26" ht="15.6" customHeight="1" x14ac:dyDescent="0.3">
      <c r="A37" s="309"/>
      <c r="B37" s="310"/>
      <c r="C37" s="80" t="s">
        <v>14</v>
      </c>
      <c r="D37" s="81" t="s">
        <v>15</v>
      </c>
      <c r="E37" s="84" t="s">
        <v>47</v>
      </c>
      <c r="F37" s="84" t="s">
        <v>14</v>
      </c>
      <c r="G37" s="85" t="s">
        <v>15</v>
      </c>
      <c r="H37" s="80" t="s">
        <v>14</v>
      </c>
      <c r="I37" s="81" t="s">
        <v>15</v>
      </c>
      <c r="K37" s="320" t="s">
        <v>48</v>
      </c>
      <c r="L37" s="321"/>
      <c r="M37" s="322"/>
      <c r="O37" s="320" t="s">
        <v>49</v>
      </c>
      <c r="P37" s="321"/>
      <c r="Q37" s="321"/>
      <c r="R37" s="321"/>
      <c r="S37" s="321"/>
      <c r="T37" s="321"/>
      <c r="U37" s="321"/>
      <c r="V37" s="322"/>
      <c r="X37" s="320" t="s">
        <v>50</v>
      </c>
      <c r="Y37" s="321"/>
      <c r="Z37" s="322"/>
    </row>
    <row r="38" spans="1:26" x14ac:dyDescent="0.3">
      <c r="A38" s="37" t="str">
        <f>'Tutorial 4 Sol'!A5</f>
        <v>Cash</v>
      </c>
      <c r="B38" s="36"/>
      <c r="C38" s="254">
        <f>'Tutorial 4 Sol'!H5</f>
        <v>359516</v>
      </c>
      <c r="D38" s="255"/>
      <c r="E38" s="48"/>
      <c r="F38" s="49"/>
      <c r="G38" s="54"/>
      <c r="H38" s="35">
        <f>C38+F38-G38</f>
        <v>359516</v>
      </c>
      <c r="I38" s="36"/>
      <c r="K38" s="323" t="s">
        <v>223</v>
      </c>
      <c r="L38" s="324"/>
      <c r="M38" s="325"/>
      <c r="O38" s="323" t="str">
        <f>K38</f>
        <v>For the Year Ended 31 December 2025</v>
      </c>
      <c r="P38" s="324"/>
      <c r="Q38" s="324"/>
      <c r="R38" s="324"/>
      <c r="S38" s="324"/>
      <c r="T38" s="324"/>
      <c r="U38" s="324"/>
      <c r="V38" s="325"/>
      <c r="X38" s="323" t="s">
        <v>224</v>
      </c>
      <c r="Y38" s="324"/>
      <c r="Z38" s="325"/>
    </row>
    <row r="39" spans="1:26" x14ac:dyDescent="0.3">
      <c r="A39" s="37" t="str">
        <f>'Tutorial 4 Sol'!A6</f>
        <v>Accounts Receivable</v>
      </c>
      <c r="B39" s="36"/>
      <c r="C39" s="254">
        <f>'Tutorial 4 Sol'!H6</f>
        <v>33800</v>
      </c>
      <c r="D39" s="255"/>
      <c r="E39" s="86"/>
      <c r="G39" s="54"/>
      <c r="H39" s="35">
        <f t="shared" ref="H39:H44" si="0">C39+F39-G39</f>
        <v>33800</v>
      </c>
      <c r="I39" s="36"/>
      <c r="K39" s="4"/>
      <c r="M39" s="47"/>
      <c r="O39" s="4"/>
      <c r="V39" s="32"/>
      <c r="X39" s="37"/>
      <c r="Z39" s="87"/>
    </row>
    <row r="40" spans="1:26" x14ac:dyDescent="0.3">
      <c r="A40" s="37" t="s">
        <v>98</v>
      </c>
      <c r="B40" s="36"/>
      <c r="C40" s="254"/>
      <c r="D40" s="255">
        <v>0</v>
      </c>
      <c r="E40" s="159" t="s">
        <v>157</v>
      </c>
      <c r="G40" s="54">
        <f>'Tutorial 6 Sol'!D19</f>
        <v>1541</v>
      </c>
      <c r="H40" s="35"/>
      <c r="I40" s="38">
        <f>D40+G40-F40</f>
        <v>1541</v>
      </c>
      <c r="K40" s="4"/>
      <c r="L40" s="1" t="s">
        <v>51</v>
      </c>
      <c r="M40" s="235">
        <f>I56</f>
        <v>315550</v>
      </c>
      <c r="O40" s="4"/>
      <c r="P40" s="31" t="s">
        <v>201</v>
      </c>
      <c r="Q40" s="31"/>
      <c r="R40" s="31" t="s">
        <v>204</v>
      </c>
      <c r="S40" s="31"/>
      <c r="T40" s="31" t="s">
        <v>52</v>
      </c>
      <c r="U40" s="31"/>
      <c r="V40" s="88" t="s">
        <v>53</v>
      </c>
      <c r="X40" s="37" t="s">
        <v>9</v>
      </c>
      <c r="Z40" s="47"/>
    </row>
    <row r="41" spans="1:26" x14ac:dyDescent="0.3">
      <c r="A41" s="37" t="str">
        <f>'Tutorial 4 Sol'!A7</f>
        <v>Prepaid Rent</v>
      </c>
      <c r="B41" s="36"/>
      <c r="C41" s="254">
        <f>'Tutorial 4 Sol'!H7</f>
        <v>13200</v>
      </c>
      <c r="D41" s="255"/>
      <c r="E41" s="159"/>
      <c r="G41" s="54"/>
      <c r="H41" s="35">
        <f t="shared" si="0"/>
        <v>13200</v>
      </c>
      <c r="I41" s="38"/>
      <c r="K41" s="4"/>
      <c r="L41" s="1" t="str">
        <f>A57</f>
        <v>Cost of Goods Sold</v>
      </c>
      <c r="M41" s="236">
        <f>-H57</f>
        <v>-121054</v>
      </c>
      <c r="O41" s="4"/>
      <c r="P41" s="89" t="s">
        <v>199</v>
      </c>
      <c r="Q41" s="31"/>
      <c r="R41" s="89" t="s">
        <v>199</v>
      </c>
      <c r="S41" s="31"/>
      <c r="T41" s="89" t="s">
        <v>54</v>
      </c>
      <c r="U41" s="31"/>
      <c r="V41" s="90" t="s">
        <v>13</v>
      </c>
      <c r="X41" s="4" t="s">
        <v>55</v>
      </c>
      <c r="Z41" s="88"/>
    </row>
    <row r="42" spans="1:26" ht="15" thickBot="1" x14ac:dyDescent="0.35">
      <c r="A42" s="37" t="str">
        <f>'Tutorial 4 Sol'!A8</f>
        <v>Prepaid Salaries</v>
      </c>
      <c r="B42" s="36"/>
      <c r="C42" s="254">
        <f>'Tutorial 4 Sol'!H8</f>
        <v>2200</v>
      </c>
      <c r="D42" s="255"/>
      <c r="E42" s="48"/>
      <c r="F42" s="49"/>
      <c r="G42" s="54"/>
      <c r="H42" s="35">
        <f t="shared" si="0"/>
        <v>2200</v>
      </c>
      <c r="I42" s="36"/>
      <c r="K42" s="4" t="s">
        <v>56</v>
      </c>
      <c r="M42" s="235">
        <f>SUM(M40:M41)</f>
        <v>194496</v>
      </c>
      <c r="O42" s="4" t="s">
        <v>57</v>
      </c>
      <c r="P42" s="242">
        <f>'Tutorial 4 Sol'!U9</f>
        <v>200000</v>
      </c>
      <c r="Q42" s="92"/>
      <c r="R42" s="91">
        <f>'Tutorial 4 Sol'!W9</f>
        <v>200000</v>
      </c>
      <c r="S42" s="92"/>
      <c r="T42" s="91">
        <f>D55</f>
        <v>5230</v>
      </c>
      <c r="U42" s="92"/>
      <c r="V42" s="93">
        <f>SUM(P42:T42)</f>
        <v>405230</v>
      </c>
      <c r="X42" s="4"/>
      <c r="Y42" s="1" t="str">
        <f>A38</f>
        <v>Cash</v>
      </c>
      <c r="Z42" s="235">
        <f>C38</f>
        <v>359516</v>
      </c>
    </row>
    <row r="43" spans="1:26" x14ac:dyDescent="0.3">
      <c r="A43" s="37" t="str">
        <f>'Tutorial 4 Sol'!A9</f>
        <v>Inventory</v>
      </c>
      <c r="B43" s="36"/>
      <c r="C43" s="254">
        <f>'Tutorial 4 Sol'!H9</f>
        <v>115740</v>
      </c>
      <c r="D43" s="255"/>
      <c r="E43" s="48" t="s">
        <v>263</v>
      </c>
      <c r="F43" s="49"/>
      <c r="G43" s="54">
        <f>D9</f>
        <v>7120</v>
      </c>
      <c r="H43" s="35">
        <f t="shared" si="0"/>
        <v>108620</v>
      </c>
      <c r="I43" s="36"/>
      <c r="K43" s="4"/>
      <c r="L43" s="1" t="str">
        <f>A58</f>
        <v>Rent Expense</v>
      </c>
      <c r="M43" s="235">
        <f t="shared" ref="M43:M48" si="1">-H58</f>
        <v>-13200</v>
      </c>
      <c r="O43" s="4" t="s">
        <v>58</v>
      </c>
      <c r="P43" s="240">
        <f>'Tutorial 4 Sol'!U10</f>
        <v>250000</v>
      </c>
      <c r="Q43" s="240"/>
      <c r="R43" s="240"/>
      <c r="S43" s="240"/>
      <c r="T43" s="240"/>
      <c r="U43" s="240"/>
      <c r="V43" s="241">
        <f>P43</f>
        <v>250000</v>
      </c>
      <c r="X43" s="4"/>
      <c r="Y43" s="1" t="s">
        <v>141</v>
      </c>
      <c r="Z43" s="235">
        <f>H39-I40</f>
        <v>32259</v>
      </c>
    </row>
    <row r="44" spans="1:26" x14ac:dyDescent="0.3">
      <c r="A44" s="37" t="str">
        <f>'Tutorial 4 Sol'!A10</f>
        <v>Property Plant and Equipment (PPE)</v>
      </c>
      <c r="B44" s="36"/>
      <c r="C44" s="254">
        <f>'Tutorial 4 Sol'!H10</f>
        <v>300000</v>
      </c>
      <c r="D44" s="255"/>
      <c r="E44" s="57"/>
      <c r="F44" s="49"/>
      <c r="G44" s="54"/>
      <c r="H44" s="35">
        <f t="shared" si="0"/>
        <v>300000</v>
      </c>
      <c r="I44" s="38"/>
      <c r="K44" s="4"/>
      <c r="L44" s="1" t="str">
        <f>A59</f>
        <v>Marketing Expense</v>
      </c>
      <c r="M44" s="235">
        <f t="shared" si="1"/>
        <v>-18500</v>
      </c>
      <c r="O44" s="4" t="s">
        <v>59</v>
      </c>
      <c r="P44" s="240"/>
      <c r="Q44" s="240"/>
      <c r="R44" s="240"/>
      <c r="S44" s="240"/>
      <c r="T44" s="240">
        <f>M54</f>
        <v>34415</v>
      </c>
      <c r="U44" s="240"/>
      <c r="V44" s="241">
        <f>SUM(P44:T44)</f>
        <v>34415</v>
      </c>
      <c r="X44" s="4"/>
      <c r="Y44" s="1" t="str">
        <f>A41</f>
        <v>Prepaid Rent</v>
      </c>
      <c r="Z44" s="235">
        <f>H41</f>
        <v>13200</v>
      </c>
    </row>
    <row r="45" spans="1:26" ht="15" thickBot="1" x14ac:dyDescent="0.35">
      <c r="A45" s="37" t="str">
        <f>'Tutorial 4 Sol'!A11</f>
        <v>Accumulated Depreciation - Equipment</v>
      </c>
      <c r="B45" s="36"/>
      <c r="C45" s="254"/>
      <c r="D45" s="255">
        <f>'Tutorial 4 Sol'!I11</f>
        <v>8200</v>
      </c>
      <c r="E45" s="48"/>
      <c r="F45" s="49"/>
      <c r="G45" s="54"/>
      <c r="H45" s="35"/>
      <c r="I45" s="38">
        <f>D45+G45-F45</f>
        <v>8200</v>
      </c>
      <c r="K45" s="4"/>
      <c r="L45" s="1" t="str">
        <f>A60</f>
        <v>Salaries Expense</v>
      </c>
      <c r="M45" s="235">
        <f t="shared" si="1"/>
        <v>-89400</v>
      </c>
      <c r="O45" s="4" t="s">
        <v>60</v>
      </c>
      <c r="P45" s="91">
        <f>SUM(P42:P44)</f>
        <v>450000</v>
      </c>
      <c r="Q45" s="92"/>
      <c r="R45" s="91">
        <f>SUM(R42:R44)</f>
        <v>200000</v>
      </c>
      <c r="S45" s="92"/>
      <c r="T45" s="91">
        <f>SUM(T42:T44)</f>
        <v>39645</v>
      </c>
      <c r="U45" s="92"/>
      <c r="V45" s="93">
        <f>SUM(V42:V44)</f>
        <v>689645</v>
      </c>
      <c r="X45" s="4"/>
      <c r="Y45" s="1" t="str">
        <f>A42</f>
        <v>Prepaid Salaries</v>
      </c>
      <c r="Z45" s="235">
        <f>H42</f>
        <v>2200</v>
      </c>
    </row>
    <row r="46" spans="1:26" x14ac:dyDescent="0.3">
      <c r="A46" s="37" t="str">
        <f>'Tutorial 4 Sol'!A12</f>
        <v>Accounts Payable</v>
      </c>
      <c r="B46" s="36"/>
      <c r="C46" s="254"/>
      <c r="D46" s="255">
        <f>'Tutorial 4 Sol'!I12</f>
        <v>16850</v>
      </c>
      <c r="E46" s="57"/>
      <c r="G46" s="54"/>
      <c r="H46" s="35"/>
      <c r="I46" s="38">
        <f>D46+G46-F46</f>
        <v>16850</v>
      </c>
      <c r="K46" s="4"/>
      <c r="L46" s="1" t="str">
        <f>A61</f>
        <v>General Admin Expense</v>
      </c>
      <c r="M46" s="235">
        <f t="shared" si="1"/>
        <v>-20390</v>
      </c>
      <c r="O46" s="5"/>
      <c r="P46" s="2"/>
      <c r="Q46" s="2"/>
      <c r="R46" s="2"/>
      <c r="S46" s="2"/>
      <c r="T46" s="2"/>
      <c r="U46" s="2"/>
      <c r="V46" s="43"/>
      <c r="X46" s="4"/>
      <c r="Y46" s="1" t="str">
        <f>A43</f>
        <v>Inventory</v>
      </c>
      <c r="Z46" s="236">
        <f>H43</f>
        <v>108620</v>
      </c>
    </row>
    <row r="47" spans="1:26" x14ac:dyDescent="0.3">
      <c r="A47" s="37" t="str">
        <f>'Tutorial 4 Sol'!A13</f>
        <v>Unearned Revenue</v>
      </c>
      <c r="B47" s="36"/>
      <c r="C47" s="254"/>
      <c r="D47" s="255">
        <f>'Tutorial 4 Sol'!I13</f>
        <v>12250</v>
      </c>
      <c r="E47" s="57"/>
      <c r="G47" s="54"/>
      <c r="H47" s="28"/>
      <c r="I47" s="38">
        <f t="shared" ref="I47:I56" si="2">D47+G47-F47</f>
        <v>12250</v>
      </c>
      <c r="K47" s="4"/>
      <c r="L47" s="1" t="str">
        <f>A62</f>
        <v xml:space="preserve">Consulting Fees </v>
      </c>
      <c r="M47" s="235">
        <f t="shared" si="1"/>
        <v>-1800</v>
      </c>
      <c r="X47" s="4"/>
      <c r="Y47" s="1" t="s">
        <v>61</v>
      </c>
      <c r="Z47" s="235">
        <f>SUM(Z42:Z46)</f>
        <v>515795</v>
      </c>
    </row>
    <row r="48" spans="1:26" x14ac:dyDescent="0.3">
      <c r="A48" s="37" t="str">
        <f>'Tutorial 4 Sol'!A14</f>
        <v>Consulting Fees Payable</v>
      </c>
      <c r="B48" s="36"/>
      <c r="C48" s="254"/>
      <c r="D48" s="255">
        <f>'Tutorial 4 Sol'!I14</f>
        <v>1800</v>
      </c>
      <c r="E48" s="57"/>
      <c r="F48" s="49"/>
      <c r="G48" s="54"/>
      <c r="H48" s="28"/>
      <c r="I48" s="38">
        <f t="shared" si="2"/>
        <v>1800</v>
      </c>
      <c r="K48" s="4"/>
      <c r="L48" s="1" t="s">
        <v>43</v>
      </c>
      <c r="M48" s="235">
        <f t="shared" si="1"/>
        <v>-8200</v>
      </c>
      <c r="X48" s="4" t="s">
        <v>310</v>
      </c>
      <c r="Z48" s="235"/>
    </row>
    <row r="49" spans="1:27" x14ac:dyDescent="0.3">
      <c r="A49" s="37" t="str">
        <f>'Tutorial 4 Sol'!A15</f>
        <v>Interest Payable</v>
      </c>
      <c r="B49" s="36"/>
      <c r="C49" s="254"/>
      <c r="D49" s="255">
        <f>'Tutorial 4 Sol'!I15</f>
        <v>2850</v>
      </c>
      <c r="E49" s="57"/>
      <c r="F49" s="49"/>
      <c r="G49" s="54"/>
      <c r="H49" s="28"/>
      <c r="I49" s="38">
        <f t="shared" si="2"/>
        <v>2850</v>
      </c>
      <c r="K49" s="4"/>
      <c r="L49" s="1" t="s">
        <v>99</v>
      </c>
      <c r="M49" s="236">
        <f>-H66</f>
        <v>-1541</v>
      </c>
      <c r="X49" s="4"/>
      <c r="Y49" s="1" t="s">
        <v>266</v>
      </c>
      <c r="Z49" s="235">
        <f>H44-I45</f>
        <v>291800</v>
      </c>
    </row>
    <row r="50" spans="1:27" x14ac:dyDescent="0.3">
      <c r="A50" s="37" t="str">
        <f>'Tutorial 4 Sol'!A16</f>
        <v>Taxes Payable</v>
      </c>
      <c r="B50" s="36"/>
      <c r="C50" s="254"/>
      <c r="D50" s="255">
        <f>'Tutorial 4 Sol'!I16</f>
        <v>4200</v>
      </c>
      <c r="E50" s="57"/>
      <c r="F50" s="49"/>
      <c r="G50" s="54"/>
      <c r="H50" s="28"/>
      <c r="I50" s="38">
        <f>D50+G50-F50</f>
        <v>4200</v>
      </c>
      <c r="K50" s="4" t="s">
        <v>63</v>
      </c>
      <c r="M50" s="235">
        <f>SUM(M42:M49)</f>
        <v>41465</v>
      </c>
      <c r="X50" s="4"/>
      <c r="Y50" s="1" t="s">
        <v>64</v>
      </c>
      <c r="Z50" s="243">
        <f>SUM(Z49:Z49)</f>
        <v>291800</v>
      </c>
    </row>
    <row r="51" spans="1:27" x14ac:dyDescent="0.3">
      <c r="A51" s="37" t="str">
        <f>'Tutorial 4 Sol'!A17</f>
        <v>Short Term Notes Payable</v>
      </c>
      <c r="B51" s="36"/>
      <c r="C51" s="254"/>
      <c r="D51" s="255">
        <f>'Tutorial 4 Sol'!I17</f>
        <v>30000</v>
      </c>
      <c r="E51" s="57"/>
      <c r="F51" s="49"/>
      <c r="G51" s="54"/>
      <c r="H51" s="28"/>
      <c r="I51" s="38">
        <f>D51+G51-F51</f>
        <v>30000</v>
      </c>
      <c r="K51" s="4"/>
      <c r="L51" s="1" t="str">
        <f>A64</f>
        <v>Interest Expense</v>
      </c>
      <c r="M51" s="236">
        <f>-H64</f>
        <v>-2850</v>
      </c>
      <c r="X51" s="37" t="s">
        <v>10</v>
      </c>
      <c r="Z51" s="237">
        <f>Z50+Z47</f>
        <v>807595</v>
      </c>
    </row>
    <row r="52" spans="1:27" x14ac:dyDescent="0.3">
      <c r="A52" s="37" t="str">
        <f>'Tutorial 4 Sol'!A18</f>
        <v>Long-term Debt</v>
      </c>
      <c r="B52" s="36"/>
      <c r="C52" s="254"/>
      <c r="D52" s="255">
        <f>'Tutorial 4 Sol'!I18</f>
        <v>50000</v>
      </c>
      <c r="E52" s="57"/>
      <c r="G52" s="50"/>
      <c r="H52" s="35"/>
      <c r="I52" s="38">
        <f t="shared" si="2"/>
        <v>50000</v>
      </c>
      <c r="K52" s="4" t="s">
        <v>65</v>
      </c>
      <c r="M52" s="235">
        <f>SUM(M50:M51)</f>
        <v>38615</v>
      </c>
      <c r="X52" s="4"/>
      <c r="Z52" s="235"/>
      <c r="AA52" s="49"/>
    </row>
    <row r="53" spans="1:27" x14ac:dyDescent="0.3">
      <c r="A53" s="37" t="str">
        <f>'Tutorial 4 Sol'!A19</f>
        <v>Share Capital - Ordinary Shares</v>
      </c>
      <c r="B53" s="36"/>
      <c r="C53" s="254"/>
      <c r="D53" s="255">
        <f>'Tutorial 4 Sol'!I19</f>
        <v>450000</v>
      </c>
      <c r="E53" s="57"/>
      <c r="G53" s="50"/>
      <c r="H53" s="28"/>
      <c r="I53" s="38">
        <f t="shared" si="2"/>
        <v>450000</v>
      </c>
      <c r="J53" s="53"/>
      <c r="K53" s="4"/>
      <c r="L53" s="1" t="str">
        <f>A65</f>
        <v>Income Tax Expense</v>
      </c>
      <c r="M53" s="236">
        <f>-H65</f>
        <v>-4200</v>
      </c>
      <c r="X53" s="37" t="s">
        <v>11</v>
      </c>
      <c r="Z53" s="235"/>
    </row>
    <row r="54" spans="1:27" x14ac:dyDescent="0.3">
      <c r="A54" s="37" t="str">
        <f>'Tutorial 4 Sol'!A20</f>
        <v>Share Capital - Preference Shares (cumulative)</v>
      </c>
      <c r="B54" s="36"/>
      <c r="C54" s="254"/>
      <c r="D54" s="255">
        <f>'Tutorial 4 Sol'!I20</f>
        <v>200000</v>
      </c>
      <c r="E54" s="57"/>
      <c r="G54" s="50"/>
      <c r="H54" s="28"/>
      <c r="I54" s="38">
        <f t="shared" si="2"/>
        <v>200000</v>
      </c>
      <c r="K54" s="59" t="s">
        <v>59</v>
      </c>
      <c r="L54" s="2"/>
      <c r="M54" s="237">
        <f>SUM(M52:M53)</f>
        <v>34415</v>
      </c>
      <c r="X54" s="4" t="s">
        <v>66</v>
      </c>
      <c r="Z54" s="235"/>
    </row>
    <row r="55" spans="1:27" x14ac:dyDescent="0.3">
      <c r="A55" s="37" t="s">
        <v>69</v>
      </c>
      <c r="B55" s="36"/>
      <c r="C55" s="254"/>
      <c r="D55" s="255">
        <f>'Tutorial 4 Sol'!I21</f>
        <v>5230</v>
      </c>
      <c r="E55" s="57"/>
      <c r="G55" s="54"/>
      <c r="H55" s="28"/>
      <c r="I55" s="38">
        <f t="shared" si="2"/>
        <v>5230</v>
      </c>
      <c r="X55" s="37"/>
      <c r="Y55" s="1" t="str">
        <f t="shared" ref="Y55:Y60" si="3">A46</f>
        <v>Accounts Payable</v>
      </c>
      <c r="Z55" s="235">
        <f>I46</f>
        <v>16850</v>
      </c>
    </row>
    <row r="56" spans="1:27" x14ac:dyDescent="0.3">
      <c r="A56" s="37" t="str">
        <f>'Tutorial 4 Sol'!A22</f>
        <v>Sales Revenue</v>
      </c>
      <c r="B56" s="36"/>
      <c r="C56" s="254"/>
      <c r="D56" s="255">
        <f>'Tutorial 4 Sol'!I22</f>
        <v>315550</v>
      </c>
      <c r="E56" s="57"/>
      <c r="F56" s="49"/>
      <c r="G56" s="54"/>
      <c r="H56" s="28"/>
      <c r="I56" s="38">
        <f t="shared" si="2"/>
        <v>315550</v>
      </c>
      <c r="M56" s="53"/>
      <c r="X56" s="37"/>
      <c r="Y56" s="1" t="str">
        <f t="shared" si="3"/>
        <v>Unearned Revenue</v>
      </c>
      <c r="Z56" s="235">
        <f t="shared" ref="Z56:Z60" si="4">I47</f>
        <v>12250</v>
      </c>
    </row>
    <row r="57" spans="1:27" x14ac:dyDescent="0.3">
      <c r="A57" s="37" t="str">
        <f>'Tutorial 4 Sol'!A23</f>
        <v>Cost of Goods Sold</v>
      </c>
      <c r="B57" s="36"/>
      <c r="C57" s="254">
        <f>'Tutorial 4 Sol'!H23</f>
        <v>113934</v>
      </c>
      <c r="D57" s="255"/>
      <c r="E57" s="57" t="s">
        <v>263</v>
      </c>
      <c r="F57" s="49">
        <f>C8</f>
        <v>7120</v>
      </c>
      <c r="G57" s="54"/>
      <c r="H57" s="35">
        <f t="shared" ref="H57:H66" si="5">C57+F57-G57</f>
        <v>121054</v>
      </c>
      <c r="I57" s="38"/>
      <c r="K57" s="58" t="s">
        <v>265</v>
      </c>
      <c r="L57" s="58"/>
      <c r="M57" s="49">
        <f>I56-SUM(H57:H66)</f>
        <v>34415</v>
      </c>
      <c r="X57" s="37"/>
      <c r="Y57" s="1" t="str">
        <f t="shared" si="3"/>
        <v>Consulting Fees Payable</v>
      </c>
      <c r="Z57" s="235">
        <f t="shared" si="4"/>
        <v>1800</v>
      </c>
    </row>
    <row r="58" spans="1:27" x14ac:dyDescent="0.3">
      <c r="A58" s="37" t="str">
        <f>'Tutorial 4 Sol'!A24</f>
        <v>Rent Expense</v>
      </c>
      <c r="B58" s="36"/>
      <c r="C58" s="254">
        <f>'Tutorial 4 Sol'!H24</f>
        <v>13200</v>
      </c>
      <c r="D58" s="255"/>
      <c r="E58" s="57"/>
      <c r="F58" s="49"/>
      <c r="G58" s="54"/>
      <c r="H58" s="35">
        <f t="shared" si="5"/>
        <v>13200</v>
      </c>
      <c r="I58" s="38"/>
      <c r="X58" s="37"/>
      <c r="Y58" s="1" t="str">
        <f t="shared" si="3"/>
        <v>Interest Payable</v>
      </c>
      <c r="Z58" s="235">
        <f t="shared" si="4"/>
        <v>2850</v>
      </c>
    </row>
    <row r="59" spans="1:27" x14ac:dyDescent="0.3">
      <c r="A59" s="37" t="str">
        <f>'Tutorial 4 Sol'!A25</f>
        <v>Marketing Expense</v>
      </c>
      <c r="B59" s="36"/>
      <c r="C59" s="254">
        <f>'Tutorial 4 Sol'!H25</f>
        <v>18500</v>
      </c>
      <c r="D59" s="255"/>
      <c r="E59" s="57"/>
      <c r="F59" s="49"/>
      <c r="G59" s="54"/>
      <c r="H59" s="35">
        <f t="shared" si="5"/>
        <v>18500</v>
      </c>
      <c r="I59" s="38"/>
      <c r="X59" s="37"/>
      <c r="Y59" s="1" t="str">
        <f t="shared" si="3"/>
        <v>Taxes Payable</v>
      </c>
      <c r="Z59" s="235">
        <f t="shared" si="4"/>
        <v>4200</v>
      </c>
    </row>
    <row r="60" spans="1:27" x14ac:dyDescent="0.3">
      <c r="A60" s="37" t="str">
        <f>'Tutorial 4 Sol'!A26</f>
        <v>Salaries Expense</v>
      </c>
      <c r="B60" s="36"/>
      <c r="C60" s="254">
        <f>'Tutorial 4 Sol'!H26</f>
        <v>89400</v>
      </c>
      <c r="D60" s="255"/>
      <c r="E60" s="57"/>
      <c r="F60" s="49"/>
      <c r="G60" s="54"/>
      <c r="H60" s="35">
        <f t="shared" si="5"/>
        <v>89400</v>
      </c>
      <c r="I60" s="38"/>
      <c r="X60" s="37"/>
      <c r="Y60" s="1" t="str">
        <f t="shared" si="3"/>
        <v>Short Term Notes Payable</v>
      </c>
      <c r="Z60" s="235">
        <f t="shared" si="4"/>
        <v>30000</v>
      </c>
    </row>
    <row r="61" spans="1:27" x14ac:dyDescent="0.3">
      <c r="A61" s="37" t="str">
        <f>'Tutorial 4 Sol'!A27</f>
        <v>General Admin Expense</v>
      </c>
      <c r="B61" s="36"/>
      <c r="C61" s="254">
        <f>'Tutorial 4 Sol'!H27</f>
        <v>20390</v>
      </c>
      <c r="D61" s="255"/>
      <c r="E61" s="57"/>
      <c r="F61" s="49"/>
      <c r="G61" s="54"/>
      <c r="H61" s="35">
        <f t="shared" si="5"/>
        <v>20390</v>
      </c>
      <c r="I61" s="38"/>
      <c r="X61" s="4"/>
      <c r="Y61" s="1" t="s">
        <v>67</v>
      </c>
      <c r="Z61" s="244">
        <f>SUM(Z55:Z60)</f>
        <v>67950</v>
      </c>
    </row>
    <row r="62" spans="1:27" x14ac:dyDescent="0.3">
      <c r="A62" s="37" t="str">
        <f>'Tutorial 4 Sol'!A28</f>
        <v xml:space="preserve">Consulting Fees </v>
      </c>
      <c r="B62" s="36"/>
      <c r="C62" s="254">
        <f>'Tutorial 4 Sol'!H28</f>
        <v>1800</v>
      </c>
      <c r="D62" s="255"/>
      <c r="E62" s="57"/>
      <c r="F62" s="49"/>
      <c r="G62" s="54"/>
      <c r="H62" s="35">
        <f t="shared" si="5"/>
        <v>1800</v>
      </c>
      <c r="I62" s="38"/>
      <c r="X62" s="4" t="s">
        <v>68</v>
      </c>
      <c r="Z62" s="235"/>
    </row>
    <row r="63" spans="1:27" x14ac:dyDescent="0.3">
      <c r="A63" s="37" t="str">
        <f>'Tutorial 4 Sol'!A29</f>
        <v>Depreciation Expense</v>
      </c>
      <c r="B63" s="36"/>
      <c r="C63" s="254">
        <f>'Tutorial 4 Sol'!H29</f>
        <v>8200</v>
      </c>
      <c r="D63" s="255"/>
      <c r="E63" s="57"/>
      <c r="F63" s="49"/>
      <c r="G63" s="54"/>
      <c r="H63" s="35">
        <f t="shared" si="5"/>
        <v>8200</v>
      </c>
      <c r="I63" s="38"/>
      <c r="X63" s="4"/>
      <c r="Y63" s="1" t="str">
        <f>A52</f>
        <v>Long-term Debt</v>
      </c>
      <c r="Z63" s="236">
        <f>I52</f>
        <v>50000</v>
      </c>
    </row>
    <row r="64" spans="1:27" x14ac:dyDescent="0.3">
      <c r="A64" s="37" t="str">
        <f>'Tutorial 4 Sol'!A30</f>
        <v>Interest Expense</v>
      </c>
      <c r="B64" s="36"/>
      <c r="C64" s="254">
        <f>'Tutorial 4 Sol'!H30</f>
        <v>2850</v>
      </c>
      <c r="D64" s="255"/>
      <c r="E64" s="57"/>
      <c r="F64" s="49"/>
      <c r="G64" s="54"/>
      <c r="H64" s="35">
        <f t="shared" si="5"/>
        <v>2850</v>
      </c>
      <c r="I64" s="38"/>
      <c r="X64" s="4" t="s">
        <v>12</v>
      </c>
      <c r="Z64" s="236">
        <f>Z61+Z63</f>
        <v>117950</v>
      </c>
      <c r="AA64" s="49"/>
    </row>
    <row r="65" spans="1:27" x14ac:dyDescent="0.3">
      <c r="A65" s="37" t="str">
        <f>'Tutorial 4 Sol'!A31</f>
        <v>Income Tax Expense</v>
      </c>
      <c r="B65" s="36"/>
      <c r="C65" s="254">
        <f>'Tutorial 4 Sol'!H31</f>
        <v>4200</v>
      </c>
      <c r="D65" s="255"/>
      <c r="E65" s="57"/>
      <c r="F65" s="49"/>
      <c r="G65" s="54"/>
      <c r="H65" s="35">
        <f t="shared" si="5"/>
        <v>4200</v>
      </c>
      <c r="I65" s="38"/>
      <c r="X65" s="37" t="s">
        <v>13</v>
      </c>
      <c r="Z65" s="235"/>
      <c r="AA65" s="49"/>
    </row>
    <row r="66" spans="1:27" x14ac:dyDescent="0.3">
      <c r="A66" s="37" t="s">
        <v>200</v>
      </c>
      <c r="B66" s="36"/>
      <c r="C66" s="254"/>
      <c r="D66" s="255"/>
      <c r="E66" s="160" t="str">
        <f>E40</f>
        <v>Tutorial 6</v>
      </c>
      <c r="F66" s="49">
        <f>'Tutorial 6 Sol'!C18</f>
        <v>1541</v>
      </c>
      <c r="G66" s="54"/>
      <c r="H66" s="35">
        <f t="shared" si="5"/>
        <v>1541</v>
      </c>
      <c r="I66" s="38"/>
      <c r="X66" s="96" t="s">
        <v>196</v>
      </c>
      <c r="Z66" s="235">
        <f>P45</f>
        <v>450000</v>
      </c>
    </row>
    <row r="67" spans="1:27" x14ac:dyDescent="0.3">
      <c r="A67" s="59"/>
      <c r="B67" s="94"/>
      <c r="C67" s="65">
        <f t="shared" ref="C67:I67" si="6">SUM(C38:C66)</f>
        <v>1096930</v>
      </c>
      <c r="D67" s="61">
        <f t="shared" si="6"/>
        <v>1096930</v>
      </c>
      <c r="E67" s="62">
        <f t="shared" si="6"/>
        <v>0</v>
      </c>
      <c r="F67" s="62">
        <f t="shared" si="6"/>
        <v>8661</v>
      </c>
      <c r="G67" s="95">
        <f t="shared" si="6"/>
        <v>8661</v>
      </c>
      <c r="H67" s="65">
        <f t="shared" si="6"/>
        <v>1098471</v>
      </c>
      <c r="I67" s="61">
        <f t="shared" si="6"/>
        <v>1098471</v>
      </c>
      <c r="X67" s="96" t="s">
        <v>203</v>
      </c>
      <c r="Z67" s="235">
        <f>R45</f>
        <v>200000</v>
      </c>
    </row>
    <row r="68" spans="1:27" x14ac:dyDescent="0.3">
      <c r="C68" s="77"/>
      <c r="D68" s="76">
        <f>C67-D67</f>
        <v>0</v>
      </c>
      <c r="G68" s="76"/>
      <c r="H68" s="77"/>
      <c r="I68" s="76">
        <f>H67-I67</f>
        <v>0</v>
      </c>
      <c r="X68" s="96" t="s">
        <v>69</v>
      </c>
      <c r="Z68" s="236">
        <f>T45</f>
        <v>39645</v>
      </c>
    </row>
    <row r="69" spans="1:27" x14ac:dyDescent="0.3">
      <c r="A69" s="1"/>
      <c r="B69" s="1"/>
      <c r="C69" s="97"/>
      <c r="D69" s="53"/>
      <c r="H69" s="97"/>
      <c r="I69" s="53"/>
      <c r="X69" s="4" t="s">
        <v>70</v>
      </c>
      <c r="Z69" s="236">
        <f>SUM(Z66:Z68)</f>
        <v>689645</v>
      </c>
      <c r="AA69" s="49"/>
    </row>
    <row r="70" spans="1:27" x14ac:dyDescent="0.3">
      <c r="A70" s="1"/>
      <c r="B70" s="1"/>
      <c r="C70" s="97"/>
      <c r="D70" s="53"/>
      <c r="H70" s="97"/>
      <c r="I70" s="53"/>
      <c r="X70" s="59" t="s">
        <v>71</v>
      </c>
      <c r="Y70" s="2"/>
      <c r="Z70" s="245">
        <f>Z69+Z64</f>
        <v>807595</v>
      </c>
      <c r="AA70" s="49"/>
    </row>
    <row r="71" spans="1:27" x14ac:dyDescent="0.3">
      <c r="A71" s="1"/>
      <c r="B71" s="1"/>
      <c r="C71" s="97"/>
      <c r="D71" s="53"/>
      <c r="H71" s="97"/>
      <c r="I71" s="53"/>
      <c r="X71" s="98"/>
      <c r="Y71" s="99"/>
      <c r="Z71" s="100"/>
    </row>
    <row r="72" spans="1:27" x14ac:dyDescent="0.3">
      <c r="A72" s="1"/>
      <c r="B72" s="1"/>
      <c r="C72" s="97"/>
      <c r="D72" s="53"/>
      <c r="H72" s="97"/>
      <c r="I72" s="53"/>
      <c r="X72" s="58" t="s">
        <v>268</v>
      </c>
      <c r="Z72" s="49">
        <f>SUM(I46:I56)-SUM(H57:H66)</f>
        <v>807595</v>
      </c>
    </row>
  </sheetData>
  <mergeCells count="14">
    <mergeCell ref="E36:G36"/>
    <mergeCell ref="H36:I36"/>
    <mergeCell ref="A32:I32"/>
    <mergeCell ref="K38:M38"/>
    <mergeCell ref="O38:V38"/>
    <mergeCell ref="A36:B37"/>
    <mergeCell ref="C36:D36"/>
    <mergeCell ref="X38:Z38"/>
    <mergeCell ref="K36:M36"/>
    <mergeCell ref="O36:V36"/>
    <mergeCell ref="X36:Z36"/>
    <mergeCell ref="K37:M37"/>
    <mergeCell ref="O37:V37"/>
    <mergeCell ref="X37:Z37"/>
  </mergeCells>
  <pageMargins left="0.7" right="0.7" top="0.75" bottom="0.75" header="0.3" footer="0.3"/>
  <pageSetup orientation="portrait" horizontalDpi="4294967295" verticalDpi="4294967295"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D86F6-1246-4A66-87C3-4212AF09F849}">
  <dimension ref="A1:X43"/>
  <sheetViews>
    <sheetView topLeftCell="A13" workbookViewId="0">
      <selection activeCell="D10" sqref="D10"/>
    </sheetView>
  </sheetViews>
  <sheetFormatPr defaultRowHeight="14.4" x14ac:dyDescent="0.3"/>
  <cols>
    <col min="1" max="1" width="11.21875" customWidth="1"/>
    <col min="2" max="2" width="29.44140625" customWidth="1"/>
    <col min="3" max="4" width="12.109375" bestFit="1" customWidth="1"/>
    <col min="5" max="5" width="12.5546875" bestFit="1" customWidth="1"/>
    <col min="7" max="7" width="3.6640625" customWidth="1"/>
    <col min="12" max="12" width="12.109375" bestFit="1" customWidth="1"/>
    <col min="13" max="13" width="12.109375" customWidth="1"/>
    <col min="14" max="14" width="10.5546875" customWidth="1"/>
    <col min="16" max="16" width="9.21875" bestFit="1" customWidth="1"/>
    <col min="17" max="17" width="11.21875" customWidth="1"/>
    <col min="18" max="18" width="10.109375" bestFit="1" customWidth="1"/>
  </cols>
  <sheetData>
    <row r="1" spans="1:11" s="1" customFormat="1" ht="18" x14ac:dyDescent="0.35">
      <c r="A1" s="67" t="s">
        <v>276</v>
      </c>
      <c r="B1" s="67"/>
      <c r="E1" s="58"/>
      <c r="F1" s="58"/>
      <c r="G1" s="58"/>
      <c r="K1" s="67"/>
    </row>
    <row r="3" spans="1:11" ht="16.05" customHeight="1" x14ac:dyDescent="0.3">
      <c r="A3" s="169" t="s">
        <v>160</v>
      </c>
      <c r="B3" s="169" t="s">
        <v>161</v>
      </c>
      <c r="C3" s="169" t="s">
        <v>162</v>
      </c>
      <c r="D3" s="169" t="s">
        <v>171</v>
      </c>
      <c r="E3" s="169" t="s">
        <v>172</v>
      </c>
    </row>
    <row r="4" spans="1:11" ht="16.05" customHeight="1" x14ac:dyDescent="0.3">
      <c r="A4" s="170">
        <v>46023</v>
      </c>
      <c r="B4" s="171" t="s">
        <v>143</v>
      </c>
      <c r="C4" s="171">
        <v>42</v>
      </c>
      <c r="D4" s="172">
        <v>960</v>
      </c>
      <c r="E4" s="172">
        <f>D4*C4</f>
        <v>40320</v>
      </c>
    </row>
    <row r="5" spans="1:11" ht="16.05" customHeight="1" x14ac:dyDescent="0.3">
      <c r="A5" s="170">
        <v>46030</v>
      </c>
      <c r="B5" s="171" t="s">
        <v>163</v>
      </c>
      <c r="C5" s="171">
        <v>20</v>
      </c>
      <c r="D5" s="172">
        <v>880</v>
      </c>
      <c r="E5" s="172">
        <f>D5*C5</f>
        <v>17600</v>
      </c>
    </row>
    <row r="6" spans="1:11" ht="16.05" customHeight="1" x14ac:dyDescent="0.3">
      <c r="A6" s="170">
        <v>46033</v>
      </c>
      <c r="B6" s="171" t="s">
        <v>7</v>
      </c>
      <c r="C6" s="171">
        <v>39</v>
      </c>
      <c r="D6" s="172"/>
      <c r="E6" s="172"/>
    </row>
    <row r="7" spans="1:11" ht="16.05" customHeight="1" x14ac:dyDescent="0.3">
      <c r="A7" s="170">
        <v>46038</v>
      </c>
      <c r="B7" s="171" t="s">
        <v>163</v>
      </c>
      <c r="C7" s="171">
        <v>30</v>
      </c>
      <c r="D7" s="172">
        <v>910</v>
      </c>
      <c r="E7" s="172">
        <f>D7*C7</f>
        <v>27300</v>
      </c>
    </row>
    <row r="8" spans="1:11" ht="16.05" customHeight="1" x14ac:dyDescent="0.3">
      <c r="A8" s="170">
        <v>46043</v>
      </c>
      <c r="B8" s="171" t="s">
        <v>7</v>
      </c>
      <c r="C8" s="171">
        <v>41</v>
      </c>
      <c r="D8" s="172"/>
      <c r="E8" s="172"/>
    </row>
    <row r="9" spans="1:11" ht="16.05" customHeight="1" x14ac:dyDescent="0.3">
      <c r="A9" s="170">
        <v>46046</v>
      </c>
      <c r="B9" s="171" t="s">
        <v>163</v>
      </c>
      <c r="C9" s="171">
        <v>10</v>
      </c>
      <c r="D9" s="172">
        <v>1050</v>
      </c>
      <c r="E9" s="172">
        <f>D9*C9</f>
        <v>10500</v>
      </c>
    </row>
    <row r="11" spans="1:11" x14ac:dyDescent="0.3">
      <c r="A11" s="162"/>
      <c r="B11" t="s">
        <v>165</v>
      </c>
      <c r="D11" s="165">
        <f>E4</f>
        <v>40320</v>
      </c>
    </row>
    <row r="12" spans="1:11" x14ac:dyDescent="0.3">
      <c r="B12" t="s">
        <v>166</v>
      </c>
    </row>
    <row r="13" spans="1:11" x14ac:dyDescent="0.3">
      <c r="B13" s="173">
        <f>A5</f>
        <v>46030</v>
      </c>
      <c r="C13" s="165">
        <f>E5</f>
        <v>17600</v>
      </c>
    </row>
    <row r="14" spans="1:11" x14ac:dyDescent="0.3">
      <c r="B14" s="173">
        <f>A7</f>
        <v>46038</v>
      </c>
      <c r="C14" s="165">
        <f>E7</f>
        <v>27300</v>
      </c>
    </row>
    <row r="15" spans="1:11" x14ac:dyDescent="0.3">
      <c r="B15" s="173">
        <f>A9</f>
        <v>46046</v>
      </c>
      <c r="C15" s="165">
        <f>E9</f>
        <v>10500</v>
      </c>
      <c r="D15" s="165">
        <f>SUM(C13:C15)</f>
        <v>55400</v>
      </c>
    </row>
    <row r="16" spans="1:11" x14ac:dyDescent="0.3">
      <c r="B16" s="166" t="s">
        <v>167</v>
      </c>
      <c r="C16" s="166"/>
      <c r="D16" s="167">
        <f>SUM(D11:D15)</f>
        <v>95720</v>
      </c>
    </row>
    <row r="17" spans="1:24" ht="14.55" customHeight="1" x14ac:dyDescent="0.3"/>
    <row r="18" spans="1:24" x14ac:dyDescent="0.3">
      <c r="B18" t="s">
        <v>168</v>
      </c>
      <c r="D18" s="163">
        <f>C4+C5+C7+C9</f>
        <v>102</v>
      </c>
    </row>
    <row r="19" spans="1:24" x14ac:dyDescent="0.3">
      <c r="B19" t="s">
        <v>173</v>
      </c>
      <c r="D19" s="163">
        <f>-(C6+C8)</f>
        <v>-80</v>
      </c>
    </row>
    <row r="20" spans="1:24" x14ac:dyDescent="0.3">
      <c r="B20" s="166" t="s">
        <v>169</v>
      </c>
      <c r="C20" s="166"/>
      <c r="D20" s="168">
        <f>SUM(D18:D19)</f>
        <v>22</v>
      </c>
    </row>
    <row r="21" spans="1:24" x14ac:dyDescent="0.3">
      <c r="D21" s="140"/>
    </row>
    <row r="22" spans="1:24" s="1" customFormat="1" x14ac:dyDescent="0.3">
      <c r="A22" s="6" t="s">
        <v>184</v>
      </c>
      <c r="B22" s="6"/>
      <c r="C22" s="103"/>
      <c r="D22" s="104"/>
      <c r="E22" s="83"/>
      <c r="F22" s="58"/>
      <c r="G22" s="6" t="s">
        <v>185</v>
      </c>
      <c r="H22" s="6"/>
      <c r="I22" s="6"/>
      <c r="J22" s="103"/>
      <c r="K22" s="104"/>
      <c r="L22" s="83"/>
      <c r="M22" s="7"/>
      <c r="N22" s="7"/>
      <c r="O22" s="7"/>
      <c r="P22" s="7"/>
      <c r="Q22" s="7"/>
      <c r="V22" s="101"/>
      <c r="X22" s="102"/>
    </row>
    <row r="23" spans="1:24" x14ac:dyDescent="0.3">
      <c r="A23" s="162" t="s">
        <v>72</v>
      </c>
      <c r="B23" s="162" t="s">
        <v>164</v>
      </c>
      <c r="G23" s="208" t="s">
        <v>72</v>
      </c>
      <c r="H23" s="162" t="s">
        <v>164</v>
      </c>
    </row>
    <row r="24" spans="1:24" x14ac:dyDescent="0.3">
      <c r="A24" s="162"/>
      <c r="B24" t="str">
        <f>B16</f>
        <v>Cost of Goods Available for Sale</v>
      </c>
      <c r="D24" s="165">
        <f>D16</f>
        <v>95720</v>
      </c>
      <c r="H24" t="str">
        <f>B24</f>
        <v>Cost of Goods Available for Sale</v>
      </c>
      <c r="M24" s="165">
        <f>D16</f>
        <v>95720</v>
      </c>
    </row>
    <row r="25" spans="1:24" x14ac:dyDescent="0.3">
      <c r="B25" t="s">
        <v>170</v>
      </c>
      <c r="H25" t="s">
        <v>170</v>
      </c>
    </row>
    <row r="26" spans="1:24" x14ac:dyDescent="0.3">
      <c r="B26" s="174" t="s">
        <v>273</v>
      </c>
      <c r="C26" s="165">
        <f>-C9*D9</f>
        <v>-10500</v>
      </c>
      <c r="H26" s="174" t="str">
        <f>B26</f>
        <v>10 units (Batch of 24-Jan -26)</v>
      </c>
      <c r="L26" s="165">
        <f>C26</f>
        <v>-10500</v>
      </c>
    </row>
    <row r="27" spans="1:24" x14ac:dyDescent="0.3">
      <c r="B27" s="174" t="s">
        <v>272</v>
      </c>
      <c r="C27" s="165">
        <f>-(D20-C9)*D7</f>
        <v>-10920</v>
      </c>
      <c r="D27" s="165">
        <f>SUM(C26:C27)</f>
        <v>-21420</v>
      </c>
      <c r="H27" s="174" t="str">
        <f>B27</f>
        <v>12 units (Batch of 16-Jan -26)</v>
      </c>
      <c r="L27" s="165">
        <f>C27</f>
        <v>-10920</v>
      </c>
      <c r="M27" s="165">
        <f>SUM(L26:L27)</f>
        <v>-21420</v>
      </c>
    </row>
    <row r="28" spans="1:24" x14ac:dyDescent="0.3">
      <c r="B28" s="166" t="s">
        <v>5</v>
      </c>
      <c r="C28" s="166"/>
      <c r="D28" s="167">
        <f>SUM(D24:D27)</f>
        <v>74300</v>
      </c>
      <c r="H28" s="166" t="s">
        <v>5</v>
      </c>
      <c r="I28" s="166"/>
      <c r="J28" s="166"/>
      <c r="K28" s="166"/>
      <c r="L28" s="166"/>
      <c r="M28" s="167">
        <f>SUM(M24:M27)</f>
        <v>74300</v>
      </c>
    </row>
    <row r="30" spans="1:24" ht="15" thickBot="1" x14ac:dyDescent="0.35">
      <c r="A30" s="162" t="s">
        <v>75</v>
      </c>
      <c r="B30" s="162" t="s">
        <v>174</v>
      </c>
      <c r="G30" s="162" t="s">
        <v>75</v>
      </c>
      <c r="H30" s="162" t="str">
        <f>B30</f>
        <v>Weighted Average Cost</v>
      </c>
    </row>
    <row r="31" spans="1:24" x14ac:dyDescent="0.3">
      <c r="B31" t="str">
        <f>B24</f>
        <v>Cost of Goods Available for Sale</v>
      </c>
      <c r="D31" s="165">
        <f>D24</f>
        <v>95720</v>
      </c>
      <c r="H31" s="335" t="s">
        <v>160</v>
      </c>
      <c r="I31" s="337" t="s">
        <v>183</v>
      </c>
      <c r="J31" s="338"/>
      <c r="K31" s="339"/>
      <c r="L31" s="340" t="s">
        <v>178</v>
      </c>
      <c r="M31" s="341"/>
      <c r="N31" s="342"/>
      <c r="O31" s="340" t="s">
        <v>179</v>
      </c>
      <c r="P31" s="341"/>
      <c r="Q31" s="342"/>
    </row>
    <row r="32" spans="1:24" ht="15" thickBot="1" x14ac:dyDescent="0.35">
      <c r="B32" s="175" t="str">
        <f>B18</f>
        <v>Units available for Sale</v>
      </c>
      <c r="C32" s="175"/>
      <c r="D32" s="176">
        <f>D18</f>
        <v>102</v>
      </c>
      <c r="H32" s="336"/>
      <c r="I32" s="178" t="s">
        <v>180</v>
      </c>
      <c r="J32" s="179" t="s">
        <v>181</v>
      </c>
      <c r="K32" s="180" t="s">
        <v>133</v>
      </c>
      <c r="L32" s="178" t="s">
        <v>180</v>
      </c>
      <c r="M32" s="179" t="s">
        <v>181</v>
      </c>
      <c r="N32" s="180" t="s">
        <v>133</v>
      </c>
      <c r="O32" s="178" t="s">
        <v>180</v>
      </c>
      <c r="P32" s="179" t="s">
        <v>181</v>
      </c>
      <c r="Q32" s="180" t="s">
        <v>133</v>
      </c>
    </row>
    <row r="33" spans="1:18" x14ac:dyDescent="0.3">
      <c r="B33" t="s">
        <v>175</v>
      </c>
      <c r="D33" s="164">
        <f>D31/D32</f>
        <v>938.43137254901956</v>
      </c>
      <c r="H33" s="181">
        <f>A4</f>
        <v>46023</v>
      </c>
      <c r="I33" s="182">
        <f>C4</f>
        <v>42</v>
      </c>
      <c r="J33" s="183">
        <f>D4</f>
        <v>960</v>
      </c>
      <c r="K33" s="184">
        <f>I33*J33</f>
        <v>40320</v>
      </c>
      <c r="L33" s="185"/>
      <c r="M33" s="186"/>
      <c r="N33" s="187"/>
      <c r="O33" s="182">
        <f>I33</f>
        <v>42</v>
      </c>
      <c r="P33" s="183">
        <f>J33</f>
        <v>960</v>
      </c>
      <c r="Q33" s="188">
        <f>O33*P33</f>
        <v>40320</v>
      </c>
    </row>
    <row r="34" spans="1:18" x14ac:dyDescent="0.3">
      <c r="B34" t="s">
        <v>173</v>
      </c>
      <c r="D34" s="140">
        <f>-D19</f>
        <v>80</v>
      </c>
      <c r="H34" s="189">
        <f>A5</f>
        <v>46030</v>
      </c>
      <c r="I34" s="190">
        <f>C5</f>
        <v>20</v>
      </c>
      <c r="J34" s="191">
        <f>D5</f>
        <v>880</v>
      </c>
      <c r="K34" s="192">
        <f>I34*J34</f>
        <v>17600</v>
      </c>
      <c r="L34" s="193"/>
      <c r="M34" s="194"/>
      <c r="N34" s="192"/>
      <c r="O34" s="195">
        <f>I34</f>
        <v>20</v>
      </c>
      <c r="P34" s="196">
        <f>J34</f>
        <v>880</v>
      </c>
      <c r="Q34" s="197">
        <f>O34*P34</f>
        <v>17600</v>
      </c>
    </row>
    <row r="35" spans="1:18" x14ac:dyDescent="0.3">
      <c r="B35" s="175" t="s">
        <v>194</v>
      </c>
      <c r="C35" s="175"/>
      <c r="D35" s="176">
        <f>D32-D34</f>
        <v>22</v>
      </c>
      <c r="H35" s="189"/>
      <c r="I35" s="193"/>
      <c r="J35" s="191"/>
      <c r="K35" s="192"/>
      <c r="L35" s="193"/>
      <c r="M35" s="194"/>
      <c r="N35" s="192"/>
      <c r="O35" s="202">
        <f>SUM(O33:O34)</f>
        <v>62</v>
      </c>
      <c r="P35" s="198">
        <f>Q35/O35</f>
        <v>934.19354838709683</v>
      </c>
      <c r="Q35" s="199">
        <f>SUM(Q33:Q34)</f>
        <v>57920</v>
      </c>
    </row>
    <row r="36" spans="1:18" x14ac:dyDescent="0.3">
      <c r="B36" t="s">
        <v>170</v>
      </c>
      <c r="D36" s="234">
        <f>D35*D33</f>
        <v>20645.49019607843</v>
      </c>
      <c r="H36" s="189">
        <f>A6</f>
        <v>46033</v>
      </c>
      <c r="I36" s="193"/>
      <c r="J36" s="191"/>
      <c r="K36" s="192"/>
      <c r="L36" s="190">
        <f>C6</f>
        <v>39</v>
      </c>
      <c r="M36" s="200">
        <f>P35</f>
        <v>934.19354838709683</v>
      </c>
      <c r="N36" s="201">
        <f>L36*M36</f>
        <v>36433.548387096773</v>
      </c>
      <c r="O36" s="190">
        <f>O35-L36</f>
        <v>23</v>
      </c>
      <c r="P36" s="191">
        <f>M36</f>
        <v>934.19354838709683</v>
      </c>
      <c r="Q36" s="201">
        <f>P36*O36</f>
        <v>21486.451612903227</v>
      </c>
    </row>
    <row r="37" spans="1:18" x14ac:dyDescent="0.3">
      <c r="B37" s="166" t="s">
        <v>176</v>
      </c>
      <c r="C37" s="166"/>
      <c r="D37" s="177">
        <f>D31-D36</f>
        <v>75074.509803921566</v>
      </c>
      <c r="H37" s="189">
        <f>A7</f>
        <v>46038</v>
      </c>
      <c r="I37" s="190">
        <f>C7</f>
        <v>30</v>
      </c>
      <c r="J37" s="191">
        <f>D7</f>
        <v>910</v>
      </c>
      <c r="K37" s="192">
        <f>I37*J37</f>
        <v>27300</v>
      </c>
      <c r="L37" s="193"/>
      <c r="M37" s="194"/>
      <c r="N37" s="192"/>
      <c r="O37" s="195">
        <f>I37</f>
        <v>30</v>
      </c>
      <c r="P37" s="196">
        <f>J37</f>
        <v>910</v>
      </c>
      <c r="Q37" s="197">
        <f>O37*P37</f>
        <v>27300</v>
      </c>
      <c r="R37" s="209"/>
    </row>
    <row r="38" spans="1:18" x14ac:dyDescent="0.3">
      <c r="H38" s="189"/>
      <c r="I38" s="193"/>
      <c r="J38" s="191"/>
      <c r="K38" s="192"/>
      <c r="L38" s="193"/>
      <c r="M38" s="194"/>
      <c r="N38" s="192"/>
      <c r="O38" s="202">
        <f>SUM(O36:O37)</f>
        <v>53</v>
      </c>
      <c r="P38" s="198">
        <f>Q38/O38</f>
        <v>920.49908703590995</v>
      </c>
      <c r="Q38" s="199">
        <f>SUM(Q36:Q37)</f>
        <v>48786.451612903227</v>
      </c>
    </row>
    <row r="39" spans="1:18" x14ac:dyDescent="0.3">
      <c r="A39" s="162" t="s">
        <v>80</v>
      </c>
      <c r="B39" s="162" t="s">
        <v>177</v>
      </c>
      <c r="H39" s="189">
        <f>A8</f>
        <v>46043</v>
      </c>
      <c r="I39" s="193"/>
      <c r="J39" s="191"/>
      <c r="K39" s="192"/>
      <c r="L39" s="190">
        <f>C8</f>
        <v>41</v>
      </c>
      <c r="M39" s="200">
        <f>P38</f>
        <v>920.49908703590995</v>
      </c>
      <c r="N39" s="201">
        <f>L39*M39</f>
        <v>37740.462568472307</v>
      </c>
      <c r="O39" s="190">
        <f>O38-L39</f>
        <v>12</v>
      </c>
      <c r="P39" s="191">
        <f>M39</f>
        <v>920.49908703590995</v>
      </c>
      <c r="Q39" s="201">
        <f>P39*O39</f>
        <v>11045.98904443092</v>
      </c>
    </row>
    <row r="40" spans="1:18" x14ac:dyDescent="0.3">
      <c r="B40" t="str">
        <f>B31</f>
        <v>Cost of Goods Available for Sale</v>
      </c>
      <c r="D40" s="165">
        <f>D16</f>
        <v>95720</v>
      </c>
      <c r="H40" s="189">
        <f>A9</f>
        <v>46046</v>
      </c>
      <c r="I40" s="190">
        <f>C9</f>
        <v>10</v>
      </c>
      <c r="J40" s="191">
        <f>D9</f>
        <v>1050</v>
      </c>
      <c r="K40" s="192">
        <f>I40*J40</f>
        <v>10500</v>
      </c>
      <c r="L40" s="193"/>
      <c r="M40" s="194"/>
      <c r="N40" s="201"/>
      <c r="O40" s="195">
        <f>I40</f>
        <v>10</v>
      </c>
      <c r="P40" s="191">
        <f>J40</f>
        <v>1050</v>
      </c>
      <c r="Q40" s="201">
        <f>O40*P40</f>
        <v>10500</v>
      </c>
      <c r="R40" s="209"/>
    </row>
    <row r="41" spans="1:18" ht="15" thickBot="1" x14ac:dyDescent="0.35">
      <c r="B41" t="s">
        <v>170</v>
      </c>
      <c r="H41" s="203" t="s">
        <v>182</v>
      </c>
      <c r="I41" s="204">
        <f>SUM(I33:I40)</f>
        <v>102</v>
      </c>
      <c r="J41" s="205"/>
      <c r="K41" s="206">
        <f>SUM(K33:K40)</f>
        <v>95720</v>
      </c>
      <c r="L41" s="204">
        <f>SUM(L36:L40)</f>
        <v>80</v>
      </c>
      <c r="M41" s="205"/>
      <c r="N41" s="207">
        <f>SUM(N36:N40)</f>
        <v>74174.010955569072</v>
      </c>
      <c r="O41" s="204">
        <f>I41-L41</f>
        <v>22</v>
      </c>
      <c r="P41" s="210">
        <f>Q41/O41</f>
        <v>979.3631383832236</v>
      </c>
      <c r="Q41" s="207">
        <f>SUM(Q39:Q40)</f>
        <v>21545.98904443092</v>
      </c>
    </row>
    <row r="42" spans="1:18" x14ac:dyDescent="0.3">
      <c r="B42" s="174" t="s">
        <v>274</v>
      </c>
      <c r="D42" s="165">
        <f>-D20*D4</f>
        <v>-21120</v>
      </c>
      <c r="Q42" s="211"/>
    </row>
    <row r="43" spans="1:18" x14ac:dyDescent="0.3">
      <c r="B43" s="166" t="s">
        <v>5</v>
      </c>
      <c r="C43" s="166"/>
      <c r="D43" s="167">
        <f>SUM(D40:D42)</f>
        <v>74600</v>
      </c>
    </row>
  </sheetData>
  <mergeCells count="4">
    <mergeCell ref="H31:H32"/>
    <mergeCell ref="I31:K31"/>
    <mergeCell ref="L31:N31"/>
    <mergeCell ref="O31:Q31"/>
  </mergeCells>
  <pageMargins left="0.7" right="0.7" top="0.75" bottom="0.75"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EE6A6-692E-4A03-8CD6-C6E7D9EBF4ED}">
  <dimension ref="A1:H62"/>
  <sheetViews>
    <sheetView tabSelected="1" zoomScaleNormal="100" workbookViewId="0">
      <selection activeCell="N4" sqref="N4"/>
    </sheetView>
  </sheetViews>
  <sheetFormatPr defaultRowHeight="14.4" x14ac:dyDescent="0.3"/>
  <cols>
    <col min="1" max="1" width="5.77734375" customWidth="1"/>
    <col min="2" max="2" width="4.6640625" customWidth="1"/>
    <col min="3" max="3" width="5.33203125" customWidth="1"/>
    <col min="4" max="4" width="30.5546875" customWidth="1"/>
    <col min="5" max="5" width="12.109375" style="163" customWidth="1"/>
    <col min="6" max="6" width="13.5546875" style="163" customWidth="1"/>
    <col min="7" max="7" width="9.33203125" bestFit="1" customWidth="1"/>
  </cols>
  <sheetData>
    <row r="1" spans="1:8" ht="18" x14ac:dyDescent="0.35">
      <c r="A1" s="67" t="s">
        <v>193</v>
      </c>
    </row>
    <row r="3" spans="1:8" s="293" customFormat="1" x14ac:dyDescent="0.3">
      <c r="A3" s="6" t="s">
        <v>299</v>
      </c>
      <c r="B3" s="6"/>
      <c r="C3" s="103"/>
      <c r="D3" s="104"/>
      <c r="E3" s="214"/>
      <c r="F3" s="292"/>
      <c r="G3" s="7"/>
      <c r="H3" s="7"/>
    </row>
    <row r="4" spans="1:8" x14ac:dyDescent="0.3">
      <c r="A4" s="162" t="s">
        <v>72</v>
      </c>
      <c r="B4" t="s">
        <v>281</v>
      </c>
      <c r="F4" s="163">
        <v>24800</v>
      </c>
    </row>
    <row r="5" spans="1:8" x14ac:dyDescent="0.3">
      <c r="B5" s="175" t="s">
        <v>189</v>
      </c>
      <c r="C5" s="175"/>
      <c r="D5" s="175"/>
      <c r="E5" s="216"/>
      <c r="F5" s="220">
        <v>0.02</v>
      </c>
    </row>
    <row r="6" spans="1:8" x14ac:dyDescent="0.3">
      <c r="B6" s="221" t="s">
        <v>284</v>
      </c>
      <c r="C6" s="221"/>
      <c r="D6" s="221"/>
      <c r="E6" s="222"/>
      <c r="F6" s="223">
        <f>F4*F5</f>
        <v>496</v>
      </c>
    </row>
    <row r="8" spans="1:8" x14ac:dyDescent="0.3">
      <c r="A8" s="162"/>
      <c r="B8" t="s">
        <v>282</v>
      </c>
      <c r="F8" s="163">
        <v>56200</v>
      </c>
      <c r="G8" s="268"/>
    </row>
    <row r="9" spans="1:8" x14ac:dyDescent="0.3">
      <c r="A9" s="162"/>
      <c r="B9" s="175" t="s">
        <v>189</v>
      </c>
      <c r="C9" s="175"/>
      <c r="D9" s="175"/>
      <c r="E9" s="216"/>
      <c r="F9" s="220">
        <v>0.02</v>
      </c>
      <c r="G9" s="268"/>
    </row>
    <row r="10" spans="1:8" x14ac:dyDescent="0.3">
      <c r="B10" s="224" t="s">
        <v>286</v>
      </c>
      <c r="C10" s="224"/>
      <c r="D10" s="224"/>
      <c r="E10" s="225"/>
      <c r="F10" s="223">
        <f>F8*F9</f>
        <v>1124</v>
      </c>
    </row>
    <row r="12" spans="1:8" x14ac:dyDescent="0.3">
      <c r="A12" s="162"/>
      <c r="B12" t="s">
        <v>190</v>
      </c>
    </row>
    <row r="13" spans="1:8" x14ac:dyDescent="0.3">
      <c r="C13" t="s">
        <v>283</v>
      </c>
      <c r="F13" s="212">
        <v>0</v>
      </c>
    </row>
    <row r="14" spans="1:8" x14ac:dyDescent="0.3">
      <c r="C14" t="s">
        <v>284</v>
      </c>
      <c r="F14" s="212">
        <f>F6</f>
        <v>496</v>
      </c>
    </row>
    <row r="15" spans="1:8" x14ac:dyDescent="0.3">
      <c r="C15" s="224" t="s">
        <v>288</v>
      </c>
      <c r="D15" s="224"/>
      <c r="E15" s="225"/>
      <c r="F15" s="226">
        <f>SUM(F13:F14)</f>
        <v>496</v>
      </c>
    </row>
    <row r="16" spans="1:8" x14ac:dyDescent="0.3">
      <c r="C16" t="s">
        <v>285</v>
      </c>
      <c r="F16" s="212">
        <v>-275</v>
      </c>
    </row>
    <row r="17" spans="1:8" x14ac:dyDescent="0.3">
      <c r="C17" t="s">
        <v>286</v>
      </c>
      <c r="F17" s="212">
        <f>F10</f>
        <v>1124</v>
      </c>
    </row>
    <row r="18" spans="1:8" x14ac:dyDescent="0.3">
      <c r="C18" s="224" t="s">
        <v>287</v>
      </c>
      <c r="D18" s="224"/>
      <c r="E18" s="225"/>
      <c r="F18" s="226">
        <f>SUM(F15:F17)</f>
        <v>1345</v>
      </c>
    </row>
    <row r="20" spans="1:8" ht="164.55" customHeight="1" x14ac:dyDescent="0.3">
      <c r="A20" s="227" t="s">
        <v>75</v>
      </c>
      <c r="B20" s="343" t="s">
        <v>313</v>
      </c>
      <c r="C20" s="343"/>
      <c r="D20" s="343"/>
      <c r="E20" s="343"/>
      <c r="F20" s="343"/>
    </row>
    <row r="22" spans="1:8" x14ac:dyDescent="0.3">
      <c r="A22" s="227" t="s">
        <v>80</v>
      </c>
      <c r="B22" t="s">
        <v>2</v>
      </c>
      <c r="E22" s="163">
        <v>4460</v>
      </c>
    </row>
    <row r="23" spans="1:8" x14ac:dyDescent="0.3">
      <c r="C23" t="s">
        <v>300</v>
      </c>
      <c r="F23" s="163">
        <v>4460</v>
      </c>
      <c r="G23" s="209"/>
    </row>
    <row r="25" spans="1:8" ht="156.6" customHeight="1" x14ac:dyDescent="0.3">
      <c r="B25" s="343" t="s">
        <v>301</v>
      </c>
      <c r="C25" s="343"/>
      <c r="D25" s="343"/>
      <c r="E25" s="343"/>
      <c r="F25" s="343"/>
    </row>
    <row r="26" spans="1:8" x14ac:dyDescent="0.3">
      <c r="B26" s="137"/>
      <c r="C26" s="137"/>
      <c r="D26" s="137"/>
      <c r="E26" s="137"/>
      <c r="F26" s="137"/>
    </row>
    <row r="27" spans="1:8" x14ac:dyDescent="0.3">
      <c r="A27" s="6" t="s">
        <v>191</v>
      </c>
      <c r="B27" s="6"/>
      <c r="C27" s="103"/>
      <c r="D27" s="104"/>
      <c r="E27" s="214"/>
      <c r="F27" s="292"/>
      <c r="G27" s="7"/>
      <c r="H27" s="7"/>
    </row>
    <row r="28" spans="1:8" x14ac:dyDescent="0.3">
      <c r="A28" s="162" t="s">
        <v>72</v>
      </c>
      <c r="B28" s="218" t="s">
        <v>291</v>
      </c>
    </row>
    <row r="29" spans="1:8" x14ac:dyDescent="0.3">
      <c r="B29" t="s">
        <v>118</v>
      </c>
      <c r="E29" s="212">
        <v>35000</v>
      </c>
    </row>
    <row r="30" spans="1:8" x14ac:dyDescent="0.3">
      <c r="C30" t="s">
        <v>186</v>
      </c>
      <c r="F30" s="212">
        <f>E29</f>
        <v>35000</v>
      </c>
    </row>
    <row r="32" spans="1:8" x14ac:dyDescent="0.3">
      <c r="A32" s="162" t="s">
        <v>75</v>
      </c>
      <c r="B32" s="219" t="s">
        <v>290</v>
      </c>
    </row>
    <row r="33" spans="1:7" x14ac:dyDescent="0.3">
      <c r="B33" t="s">
        <v>0</v>
      </c>
      <c r="E33" s="212">
        <f>F42</f>
        <v>155.56</v>
      </c>
    </row>
    <row r="34" spans="1:7" x14ac:dyDescent="0.3">
      <c r="C34" t="s">
        <v>187</v>
      </c>
      <c r="E34" s="213"/>
      <c r="F34" s="212">
        <f>E33</f>
        <v>155.56</v>
      </c>
    </row>
    <row r="36" spans="1:7" x14ac:dyDescent="0.3">
      <c r="A36" s="162" t="s">
        <v>75</v>
      </c>
      <c r="B36" s="219" t="s">
        <v>292</v>
      </c>
    </row>
    <row r="37" spans="1:7" x14ac:dyDescent="0.3">
      <c r="B37" t="s">
        <v>0</v>
      </c>
      <c r="E37" s="212">
        <f>F43</f>
        <v>894.44</v>
      </c>
    </row>
    <row r="38" spans="1:7" x14ac:dyDescent="0.3">
      <c r="C38" t="s">
        <v>187</v>
      </c>
      <c r="E38" s="213"/>
      <c r="F38" s="212">
        <f>E37</f>
        <v>894.44</v>
      </c>
    </row>
    <row r="40" spans="1:7" x14ac:dyDescent="0.3">
      <c r="B40" s="264" t="s">
        <v>289</v>
      </c>
      <c r="C40" s="259"/>
      <c r="D40" s="259"/>
      <c r="E40" s="260"/>
      <c r="F40" s="261">
        <f>F30*10%/360</f>
        <v>9.7222222222222214</v>
      </c>
    </row>
    <row r="41" spans="1:7" x14ac:dyDescent="0.3">
      <c r="B41" s="266" t="s">
        <v>296</v>
      </c>
      <c r="C41" s="224"/>
      <c r="D41" s="224"/>
      <c r="E41" s="225"/>
      <c r="F41" s="267">
        <f>F40*120</f>
        <v>1166.6666666666665</v>
      </c>
    </row>
    <row r="42" spans="1:7" x14ac:dyDescent="0.3">
      <c r="B42" s="262" t="s">
        <v>293</v>
      </c>
      <c r="E42" s="228"/>
      <c r="F42" s="263">
        <f>ROUND(F40*16,2)</f>
        <v>155.56</v>
      </c>
      <c r="G42" s="209"/>
    </row>
    <row r="43" spans="1:7" x14ac:dyDescent="0.3">
      <c r="B43" s="262" t="s">
        <v>294</v>
      </c>
      <c r="E43" s="228"/>
      <c r="F43" s="263">
        <f>ROUND((F40*(31+30+31)),2)</f>
        <v>894.44</v>
      </c>
    </row>
    <row r="44" spans="1:7" x14ac:dyDescent="0.3">
      <c r="B44" s="264" t="s">
        <v>297</v>
      </c>
      <c r="C44" s="166"/>
      <c r="D44" s="166"/>
      <c r="E44" s="217"/>
      <c r="F44" s="265">
        <f>SUM(F42:F43)</f>
        <v>1050</v>
      </c>
    </row>
    <row r="45" spans="1:7" x14ac:dyDescent="0.3">
      <c r="B45" s="264" t="s">
        <v>298</v>
      </c>
      <c r="C45" s="166"/>
      <c r="D45" s="166"/>
      <c r="E45" s="217"/>
      <c r="F45" s="265">
        <f>F40*12</f>
        <v>116.66666666666666</v>
      </c>
    </row>
    <row r="46" spans="1:7" x14ac:dyDescent="0.3">
      <c r="B46" s="215"/>
    </row>
    <row r="47" spans="1:7" x14ac:dyDescent="0.3">
      <c r="A47" s="162" t="s">
        <v>80</v>
      </c>
      <c r="B47" s="162" t="s">
        <v>295</v>
      </c>
    </row>
    <row r="48" spans="1:7" x14ac:dyDescent="0.3">
      <c r="A48" s="162"/>
      <c r="B48" t="str">
        <f>C30</f>
        <v>Notes Payable</v>
      </c>
      <c r="E48" s="212">
        <f>F30</f>
        <v>35000</v>
      </c>
    </row>
    <row r="49" spans="1:8" x14ac:dyDescent="0.3">
      <c r="B49" t="s">
        <v>188</v>
      </c>
      <c r="E49" s="212">
        <f>SUM(F42:F43)</f>
        <v>1050</v>
      </c>
    </row>
    <row r="50" spans="1:8" x14ac:dyDescent="0.3">
      <c r="B50" t="s">
        <v>0</v>
      </c>
      <c r="E50" s="212">
        <f>F40*12</f>
        <v>116.66666666666666</v>
      </c>
    </row>
    <row r="51" spans="1:8" x14ac:dyDescent="0.3">
      <c r="C51" t="s">
        <v>2</v>
      </c>
      <c r="F51" s="212">
        <f>SUM(E48:E50)</f>
        <v>36166.666666666664</v>
      </c>
    </row>
    <row r="53" spans="1:8" x14ac:dyDescent="0.3">
      <c r="A53" s="6" t="s">
        <v>192</v>
      </c>
      <c r="B53" s="6"/>
      <c r="C53" s="103"/>
      <c r="D53" s="104"/>
      <c r="E53" s="214"/>
      <c r="F53" s="292"/>
      <c r="G53" s="7"/>
      <c r="H53" s="7"/>
    </row>
    <row r="54" spans="1:8" x14ac:dyDescent="0.3">
      <c r="A54" s="227" t="s">
        <v>72</v>
      </c>
      <c r="B54" s="269" t="s">
        <v>306</v>
      </c>
    </row>
    <row r="55" spans="1:8" x14ac:dyDescent="0.3">
      <c r="A55" s="227"/>
      <c r="B55" s="343" t="s">
        <v>304</v>
      </c>
      <c r="C55" s="343"/>
      <c r="D55" s="343"/>
      <c r="E55" s="343"/>
      <c r="F55" s="343"/>
      <c r="G55" s="343"/>
      <c r="H55" s="343"/>
    </row>
    <row r="56" spans="1:8" x14ac:dyDescent="0.3">
      <c r="A56" s="227"/>
      <c r="B56" s="270" t="s">
        <v>100</v>
      </c>
      <c r="C56" s="137"/>
      <c r="D56" s="137"/>
      <c r="E56" s="137"/>
      <c r="F56" s="137"/>
      <c r="G56" s="137"/>
      <c r="H56" s="137"/>
    </row>
    <row r="57" spans="1:8" x14ac:dyDescent="0.3">
      <c r="B57" t="s">
        <v>302</v>
      </c>
      <c r="E57" s="212">
        <v>5000</v>
      </c>
      <c r="G57" s="137"/>
      <c r="H57" s="137"/>
    </row>
    <row r="58" spans="1:8" x14ac:dyDescent="0.3">
      <c r="C58" t="s">
        <v>303</v>
      </c>
      <c r="F58" s="212">
        <v>5000</v>
      </c>
    </row>
    <row r="59" spans="1:8" x14ac:dyDescent="0.3">
      <c r="F59" s="212"/>
    </row>
    <row r="60" spans="1:8" x14ac:dyDescent="0.3">
      <c r="B60" s="269" t="s">
        <v>307</v>
      </c>
      <c r="F60" s="212"/>
    </row>
    <row r="61" spans="1:8" ht="52.95" customHeight="1" x14ac:dyDescent="0.3">
      <c r="A61" s="227"/>
      <c r="B61" s="343" t="s">
        <v>305</v>
      </c>
      <c r="C61" s="343"/>
      <c r="D61" s="343"/>
      <c r="E61" s="343"/>
      <c r="F61" s="343"/>
      <c r="G61" s="343"/>
      <c r="H61" s="343"/>
    </row>
    <row r="62" spans="1:8" ht="94.2" customHeight="1" x14ac:dyDescent="0.3">
      <c r="A62" s="227" t="s">
        <v>75</v>
      </c>
      <c r="B62" s="343" t="s">
        <v>308</v>
      </c>
      <c r="C62" s="343"/>
      <c r="D62" s="343"/>
      <c r="E62" s="343"/>
      <c r="F62" s="343"/>
      <c r="G62" s="343"/>
      <c r="H62" s="343"/>
    </row>
  </sheetData>
  <mergeCells count="5">
    <mergeCell ref="B62:H62"/>
    <mergeCell ref="B55:H55"/>
    <mergeCell ref="B61:H61"/>
    <mergeCell ref="B20:F20"/>
    <mergeCell ref="B25:F25"/>
  </mergeCells>
  <pageMargins left="0.7" right="0.7" top="0.75" bottom="0.75" header="0.3" footer="0.3"/>
  <pageSetup paperSize="9" scale="96" orientation="portrait" horizontalDpi="4294967293" verticalDpi="4294967295" r:id="rId1"/>
  <rowBreaks count="1" manualBreakCount="1">
    <brk id="26"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26482-91FF-49B4-9626-AABFE67D9B42}">
  <dimension ref="A1:D15"/>
  <sheetViews>
    <sheetView workbookViewId="0">
      <selection activeCell="I10" sqref="I10"/>
    </sheetView>
  </sheetViews>
  <sheetFormatPr defaultRowHeight="14.4" x14ac:dyDescent="0.3"/>
  <cols>
    <col min="1" max="1" width="42.109375" customWidth="1"/>
    <col min="2" max="2" width="12.44140625" customWidth="1"/>
    <col min="3" max="3" width="15.44140625" customWidth="1"/>
    <col min="4" max="4" width="9.21875" bestFit="1" customWidth="1"/>
  </cols>
  <sheetData>
    <row r="1" spans="1:4" ht="15.6" customHeight="1" x14ac:dyDescent="0.3">
      <c r="A1" s="344" t="s">
        <v>205</v>
      </c>
      <c r="B1" s="344"/>
      <c r="C1" s="344"/>
    </row>
    <row r="2" spans="1:4" ht="15.6" customHeight="1" x14ac:dyDescent="0.3">
      <c r="A2" s="22" t="s">
        <v>209</v>
      </c>
      <c r="B2" s="9" t="s">
        <v>14</v>
      </c>
      <c r="C2" s="21" t="s">
        <v>15</v>
      </c>
    </row>
    <row r="3" spans="1:4" ht="15.6" customHeight="1" x14ac:dyDescent="0.3">
      <c r="A3" s="4" t="str">
        <f>'TB @ 30 Sept 2025'!A3</f>
        <v>Cash</v>
      </c>
      <c r="B3" s="24">
        <v>350130</v>
      </c>
      <c r="C3" s="25"/>
    </row>
    <row r="4" spans="1:4" ht="15.6" customHeight="1" x14ac:dyDescent="0.3">
      <c r="A4" s="4" t="str">
        <f>'TB @ 30 Sept 2025'!A4</f>
        <v>Accounts Receivable</v>
      </c>
      <c r="B4" s="24">
        <v>21700</v>
      </c>
      <c r="C4" s="25"/>
      <c r="D4" s="140"/>
    </row>
    <row r="5" spans="1:4" ht="15.6" customHeight="1" x14ac:dyDescent="0.3">
      <c r="A5" s="4" t="str">
        <f>'TB @ 30 Sept 2025'!A6</f>
        <v>Inventory</v>
      </c>
      <c r="B5" s="24">
        <v>102000</v>
      </c>
      <c r="C5" s="25"/>
    </row>
    <row r="6" spans="1:4" ht="15.6" customHeight="1" x14ac:dyDescent="0.3">
      <c r="A6" s="4" t="str">
        <f>'TB @ 30 Sept 2025'!A7</f>
        <v>Accounts Payable</v>
      </c>
      <c r="B6" s="24"/>
      <c r="C6" s="25">
        <v>18600</v>
      </c>
    </row>
    <row r="7" spans="1:4" ht="15.6" customHeight="1" x14ac:dyDescent="0.3">
      <c r="A7" s="4" t="str">
        <f>'TB @ 30 Sept 2025'!A9</f>
        <v>Long-term Debt</v>
      </c>
      <c r="B7" s="24"/>
      <c r="C7" s="25">
        <f>'TB @ 30 Sept 2025'!C9</f>
        <v>50000</v>
      </c>
    </row>
    <row r="8" spans="1:4" ht="15.6" customHeight="1" x14ac:dyDescent="0.3">
      <c r="A8" s="4" t="str">
        <f>'TB @ 30 Sept 2025'!A10</f>
        <v>Share Capital - Ordinary Shares</v>
      </c>
      <c r="B8" s="24"/>
      <c r="C8" s="25">
        <f>'TB @ 30 Sept 2025'!C10</f>
        <v>200000</v>
      </c>
    </row>
    <row r="9" spans="1:4" ht="15.6" customHeight="1" x14ac:dyDescent="0.3">
      <c r="A9" s="4" t="str">
        <f>'TB @ 30 Sept 2025'!A11</f>
        <v>Share Capital - Preference Shares (cumulative)</v>
      </c>
      <c r="B9" s="24"/>
      <c r="C9" s="25">
        <f>'TB @ 30 Sept 2025'!C11</f>
        <v>200000</v>
      </c>
    </row>
    <row r="10" spans="1:4" ht="15.6" customHeight="1" x14ac:dyDescent="0.3">
      <c r="A10" s="4" t="str">
        <f>'TB @ 30 Sept 2025'!A12</f>
        <v>Retained Earnings  (@ 31 Dec 2024)</v>
      </c>
      <c r="B10" s="24"/>
      <c r="C10" s="25">
        <f>'TB @ 30 Sept 2025'!C12</f>
        <v>5230</v>
      </c>
    </row>
    <row r="11" spans="1:4" ht="15.6" customHeight="1" x14ac:dyDescent="0.3">
      <c r="A11" s="23"/>
      <c r="B11" s="27">
        <f>SUM(B3:B10)</f>
        <v>473830</v>
      </c>
      <c r="C11" s="27">
        <f>SUM(C3:C10)</f>
        <v>473830</v>
      </c>
      <c r="D11" s="140">
        <f>B11-C11</f>
        <v>0</v>
      </c>
    </row>
    <row r="12" spans="1:4" ht="15.6" customHeight="1" x14ac:dyDescent="0.3">
      <c r="B12" s="3"/>
      <c r="C12" s="3"/>
    </row>
    <row r="13" spans="1:4" x14ac:dyDescent="0.3">
      <c r="A13" t="s">
        <v>10</v>
      </c>
      <c r="B13" s="140">
        <f>SUM(B3:B5)</f>
        <v>473830</v>
      </c>
    </row>
    <row r="14" spans="1:4" x14ac:dyDescent="0.3">
      <c r="A14" t="s">
        <v>12</v>
      </c>
      <c r="C14" s="140">
        <f>SUM(C6:C7)</f>
        <v>68600</v>
      </c>
    </row>
    <row r="15" spans="1:4" x14ac:dyDescent="0.3">
      <c r="A15" t="s">
        <v>70</v>
      </c>
      <c r="C15" s="140">
        <f>SUM(C8:C10)</f>
        <v>405230</v>
      </c>
      <c r="D15" s="140">
        <f>B13-C14-C15</f>
        <v>0</v>
      </c>
    </row>
  </sheetData>
  <mergeCells count="1">
    <mergeCell ref="A1:C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916FBF6E6E37447827B60E0C4C792C8" ma:contentTypeVersion="18" ma:contentTypeDescription="Create a new document." ma:contentTypeScope="" ma:versionID="ecd487ed8db3878f6fc752d3e839d19d">
  <xsd:schema xmlns:xsd="http://www.w3.org/2001/XMLSchema" xmlns:xs="http://www.w3.org/2001/XMLSchema" xmlns:p="http://schemas.microsoft.com/office/2006/metadata/properties" xmlns:ns3="a53cfe13-88a2-4d8a-921a-26acc93ffab7" xmlns:ns4="e3370fb0-917d-486d-8ec5-33c5248dbdec" targetNamespace="http://schemas.microsoft.com/office/2006/metadata/properties" ma:root="true" ma:fieldsID="1a9372c9027c374d89d663cf2361a631" ns3:_="" ns4:_="">
    <xsd:import namespace="a53cfe13-88a2-4d8a-921a-26acc93ffab7"/>
    <xsd:import namespace="e3370fb0-917d-486d-8ec5-33c5248dbdec"/>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AutoKeyPoints" minOccurs="0"/>
                <xsd:element ref="ns3:MediaServiceKeyPoints" minOccurs="0"/>
                <xsd:element ref="ns3:MediaServiceDateTaken" minOccurs="0"/>
                <xsd:element ref="ns4:SharedWithUsers" minOccurs="0"/>
                <xsd:element ref="ns4:SharedWithDetails" minOccurs="0"/>
                <xsd:element ref="ns4:SharingHintHash" minOccurs="0"/>
                <xsd:element ref="ns3:MediaServiceLocation"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3cfe13-88a2-4d8a-921a-26acc93ffab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ystemTags" ma:index="24" nillable="true" ma:displayName="MediaServiceSystemTags" ma:hidden="true" ma:internalName="MediaServiceSystemTags" ma:readOnly="true">
      <xsd:simpleType>
        <xsd:restriction base="dms:Note"/>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3370fb0-917d-486d-8ec5-33c5248dbde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SharingHintHash" ma:index="19"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a53cfe13-88a2-4d8a-921a-26acc93ffab7" xsi:nil="true"/>
  </documentManagement>
</p:properties>
</file>

<file path=customXml/itemProps1.xml><?xml version="1.0" encoding="utf-8"?>
<ds:datastoreItem xmlns:ds="http://schemas.openxmlformats.org/officeDocument/2006/customXml" ds:itemID="{1CC60337-E26F-4C85-A752-F138A6903EB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3cfe13-88a2-4d8a-921a-26acc93ffab7"/>
    <ds:schemaRef ds:uri="e3370fb0-917d-486d-8ec5-33c5248dbde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2A133E6-4AD2-4E55-8C16-45E21EFF23A1}">
  <ds:schemaRefs>
    <ds:schemaRef ds:uri="http://schemas.microsoft.com/sharepoint/v3/contenttype/forms"/>
  </ds:schemaRefs>
</ds:datastoreItem>
</file>

<file path=customXml/itemProps3.xml><?xml version="1.0" encoding="utf-8"?>
<ds:datastoreItem xmlns:ds="http://schemas.openxmlformats.org/officeDocument/2006/customXml" ds:itemID="{270B9661-662C-4790-842A-C8BFD41F756E}">
  <ds:schemaRefs>
    <ds:schemaRef ds:uri="http://www.w3.org/XML/1998/namespace"/>
    <ds:schemaRef ds:uri="http://purl.org/dc/dcmitype/"/>
    <ds:schemaRef ds:uri="http://schemas.openxmlformats.org/package/2006/metadata/core-properties"/>
    <ds:schemaRef ds:uri="e3370fb0-917d-486d-8ec5-33c5248dbdec"/>
    <ds:schemaRef ds:uri="a53cfe13-88a2-4d8a-921a-26acc93ffab7"/>
    <ds:schemaRef ds:uri="http://purl.org/dc/terms/"/>
    <ds:schemaRef ds:uri="http://schemas.microsoft.com/office/2006/documentManagement/types"/>
    <ds:schemaRef ds:uri="http://schemas.microsoft.com/office/infopath/2007/PartnerControls"/>
    <ds:schemaRef ds:uri="http://schemas.microsoft.com/office/2006/metadata/propertie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TB @ 30 Sept 2025</vt:lpstr>
      <vt:lpstr>Tutorial 2 Sol</vt:lpstr>
      <vt:lpstr>Tutorial 3 Sol</vt:lpstr>
      <vt:lpstr>Tutorial 4 Sol</vt:lpstr>
      <vt:lpstr>Tutorial 5 Sol</vt:lpstr>
      <vt:lpstr>Tutorial 6 Sol</vt:lpstr>
      <vt:lpstr>Tutorial 7 Part 1-3 Sol</vt:lpstr>
      <vt:lpstr>Tutorial 7 Part 4&amp;5 Sol</vt:lpstr>
      <vt:lpstr>Tutorial 8 Sol</vt:lpstr>
      <vt:lpstr>TB @ 31 Dec 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Hanny Kusnadi</dc:creator>
  <cp:lastModifiedBy>Hanny Kusnadi</cp:lastModifiedBy>
  <cp:lastPrinted>2025-10-13T07:22:22Z</cp:lastPrinted>
  <dcterms:created xsi:type="dcterms:W3CDTF">2022-06-06T03:14:46Z</dcterms:created>
  <dcterms:modified xsi:type="dcterms:W3CDTF">2025-10-14T10:02:24Z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0x0101001916FBF6E6E37447827B60E0C4C792C8</vt:lpwstr>
  </property>
</Properties>
</file>