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bizhann_nus_edu_sg/Documents/TEACHING/AY2526 S1 ACC1701XA/Lecture 04 FS Prep/"/>
    </mc:Choice>
  </mc:AlternateContent>
  <xr:revisionPtr revIDLastSave="75" documentId="8_{1B9C1CA8-756F-4E28-B78F-E3C3F4E18DD8}" xr6:coauthVersionLast="47" xr6:coauthVersionMax="47" xr10:uidLastSave="{1C99E35E-D784-4BB1-8D89-84AFDDF09C8E}"/>
  <bookViews>
    <workbookView xWindow="28680" yWindow="-120" windowWidth="29040" windowHeight="15720" xr2:uid="{A16AB46A-F7A5-410D-B005-81CCA8FFE00A}"/>
  </bookViews>
  <sheets>
    <sheet name="Saja &amp; Co Sol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4" i="1" l="1"/>
  <c r="AK33" i="1"/>
  <c r="AK29" i="1"/>
  <c r="AK25" i="1"/>
  <c r="AK17" i="1"/>
  <c r="AK13" i="1"/>
  <c r="G50" i="1"/>
  <c r="E35" i="1"/>
  <c r="M16" i="1"/>
  <c r="M23" i="1"/>
  <c r="M28" i="1"/>
  <c r="M29" i="1"/>
  <c r="F15" i="1"/>
  <c r="M27" i="1" s="1"/>
  <c r="F12" i="1"/>
  <c r="M26" i="1" s="1"/>
  <c r="M30" i="1" l="1"/>
  <c r="E38" i="1"/>
  <c r="D37" i="1"/>
  <c r="C37" i="1"/>
  <c r="E34" i="1"/>
  <c r="E33" i="1"/>
  <c r="E32" i="1"/>
  <c r="E31" i="1"/>
  <c r="E30" i="1"/>
  <c r="E29" i="1"/>
  <c r="E28" i="1"/>
  <c r="D27" i="1"/>
  <c r="G13" i="1"/>
  <c r="N11" i="1" s="1"/>
  <c r="G22" i="1"/>
  <c r="N15" i="1" s="1"/>
  <c r="G19" i="1"/>
  <c r="N9" i="1" s="1"/>
  <c r="G16" i="1"/>
  <c r="N13" i="1" s="1"/>
  <c r="E22" i="1"/>
  <c r="D21" i="1"/>
  <c r="C21" i="1"/>
  <c r="D18" i="1"/>
  <c r="C18" i="1"/>
  <c r="E16" i="1"/>
  <c r="D15" i="1"/>
  <c r="C15" i="1"/>
  <c r="E13" i="1"/>
  <c r="D12" i="1"/>
  <c r="C12" i="1"/>
  <c r="G11" i="1"/>
  <c r="N10" i="1" s="1"/>
  <c r="E11" i="1"/>
  <c r="D10" i="1"/>
  <c r="C10" i="1"/>
  <c r="G8" i="1"/>
  <c r="N22" i="1" s="1"/>
  <c r="E8" i="1"/>
  <c r="D7" i="1"/>
  <c r="C7" i="1"/>
  <c r="L9" i="1" l="1"/>
  <c r="L28" i="1"/>
  <c r="L11" i="1"/>
  <c r="L26" i="1"/>
  <c r="L13" i="1"/>
  <c r="L27" i="1"/>
  <c r="L29" i="1"/>
  <c r="L15" i="1"/>
  <c r="N30" i="1"/>
  <c r="L10" i="1"/>
  <c r="L23" i="1"/>
  <c r="L16" i="1"/>
  <c r="L22" i="1"/>
  <c r="O21" i="1"/>
  <c r="P17" i="1"/>
  <c r="T17" i="1" l="1"/>
  <c r="AK24" i="1"/>
  <c r="AD12" i="1"/>
  <c r="AF12" i="1" s="1"/>
  <c r="F37" i="1"/>
  <c r="AH4" i="1"/>
  <c r="AA4" i="1"/>
  <c r="K30" i="1"/>
  <c r="J30" i="1"/>
  <c r="O29" i="1"/>
  <c r="O28" i="1"/>
  <c r="O27" i="1"/>
  <c r="O26" i="1"/>
  <c r="O25" i="1"/>
  <c r="O24" i="1"/>
  <c r="O23" i="1"/>
  <c r="P22" i="1"/>
  <c r="P20" i="1"/>
  <c r="P19" i="1"/>
  <c r="P18" i="1"/>
  <c r="P16" i="1"/>
  <c r="P15" i="1"/>
  <c r="P14" i="1"/>
  <c r="P13" i="1"/>
  <c r="T13" i="1" s="1"/>
  <c r="O12" i="1"/>
  <c r="O11" i="1"/>
  <c r="O10" i="1"/>
  <c r="P9" i="1"/>
  <c r="T9" i="1" s="1"/>
  <c r="O8" i="1"/>
  <c r="O7" i="1"/>
  <c r="AD10" i="1" l="1"/>
  <c r="G30" i="1"/>
  <c r="R25" i="1" s="1"/>
  <c r="Y13" i="1" s="1"/>
  <c r="S7" i="1"/>
  <c r="AK9" i="1"/>
  <c r="S8" i="1"/>
  <c r="AK10" i="1"/>
  <c r="S10" i="1"/>
  <c r="AK11" i="1"/>
  <c r="G28" i="1"/>
  <c r="R23" i="1" s="1"/>
  <c r="S23" i="1" s="1"/>
  <c r="Y9" i="1"/>
  <c r="G33" i="1"/>
  <c r="R28" i="1" s="1"/>
  <c r="Y16" i="1" s="1"/>
  <c r="S11" i="1"/>
  <c r="AK12" i="1"/>
  <c r="T14" i="1"/>
  <c r="AK21" i="1"/>
  <c r="Q20" i="1"/>
  <c r="G38" i="1"/>
  <c r="R21" i="1" s="1"/>
  <c r="S21" i="1" s="1"/>
  <c r="T15" i="1"/>
  <c r="AK22" i="1"/>
  <c r="T18" i="1"/>
  <c r="AK27" i="1"/>
  <c r="AK28" i="1" s="1"/>
  <c r="Y8" i="1"/>
  <c r="F27" i="1"/>
  <c r="G29" i="1"/>
  <c r="R24" i="1" s="1"/>
  <c r="Y12" i="1" s="1"/>
  <c r="G31" i="1"/>
  <c r="R26" i="1" s="1"/>
  <c r="Y14" i="1" s="1"/>
  <c r="G32" i="1"/>
  <c r="R27" i="1" s="1"/>
  <c r="Y15" i="1" s="1"/>
  <c r="G34" i="1"/>
  <c r="R29" i="1" s="1"/>
  <c r="Y18" i="1" s="1"/>
  <c r="S12" i="1"/>
  <c r="AK15" i="1"/>
  <c r="AK16" i="1" s="1"/>
  <c r="T16" i="1"/>
  <c r="AK23" i="1"/>
  <c r="T19" i="1"/>
  <c r="AB10" i="1"/>
  <c r="P30" i="1"/>
  <c r="O30" i="1"/>
  <c r="AB13" i="1" l="1"/>
  <c r="AK31" i="1" s="1"/>
  <c r="AF10" i="1"/>
  <c r="S28" i="1"/>
  <c r="S29" i="1"/>
  <c r="S27" i="1"/>
  <c r="S26" i="1"/>
  <c r="S24" i="1"/>
  <c r="Q22" i="1"/>
  <c r="T22" i="1" s="1"/>
  <c r="G35" i="1"/>
  <c r="R20" i="1" s="1"/>
  <c r="Y10" i="1"/>
  <c r="Y17" i="1" s="1"/>
  <c r="Y19" i="1" s="1"/>
  <c r="AD11" i="1" s="1"/>
  <c r="S25" i="1"/>
  <c r="S30" i="1" l="1"/>
  <c r="AF11" i="1"/>
  <c r="AF13" i="1" s="1"/>
  <c r="AD13" i="1"/>
  <c r="AK32" i="1" s="1"/>
  <c r="R30" i="1"/>
  <c r="T20" i="1"/>
  <c r="T30" i="1" s="1"/>
  <c r="Q30" i="1"/>
</calcChain>
</file>

<file path=xl/sharedStrings.xml><?xml version="1.0" encoding="utf-8"?>
<sst xmlns="http://schemas.openxmlformats.org/spreadsheetml/2006/main" count="138" uniqueCount="94">
  <si>
    <t>Account Types</t>
  </si>
  <si>
    <t>QUESTIONS</t>
  </si>
  <si>
    <t>Date/Ref</t>
  </si>
  <si>
    <t>Account</t>
  </si>
  <si>
    <t>Debit</t>
  </si>
  <si>
    <t>Credit</t>
  </si>
  <si>
    <t>(a)</t>
  </si>
  <si>
    <t>Cash</t>
  </si>
  <si>
    <t>Accounts Receivable</t>
  </si>
  <si>
    <t>(b)</t>
  </si>
  <si>
    <t>Inventory</t>
  </si>
  <si>
    <t xml:space="preserve">(c)  </t>
  </si>
  <si>
    <t>Property, Plant &amp; Equipment</t>
  </si>
  <si>
    <t>(d)</t>
  </si>
  <si>
    <t>Accumulated Depreciation</t>
  </si>
  <si>
    <t>Accounts Payable</t>
  </si>
  <si>
    <t>(e)</t>
  </si>
  <si>
    <t>Income Tax Payable</t>
  </si>
  <si>
    <t>Unearned Revenue</t>
  </si>
  <si>
    <t>Long-term Debt</t>
  </si>
  <si>
    <t>(f)</t>
  </si>
  <si>
    <t>Sales Revenue</t>
  </si>
  <si>
    <t>Cost of Sales</t>
  </si>
  <si>
    <t>Salaries Expense</t>
  </si>
  <si>
    <t>General Admin Expense</t>
  </si>
  <si>
    <t>Rent Expense</t>
  </si>
  <si>
    <t>Depreciation Expense</t>
  </si>
  <si>
    <t>Bad Debt Expense</t>
  </si>
  <si>
    <t>Income Tax Expense</t>
  </si>
  <si>
    <t xml:space="preserve">Total </t>
  </si>
  <si>
    <t>Income Statement</t>
  </si>
  <si>
    <t>Statement of Changes in Equity</t>
  </si>
  <si>
    <t>Statement of Financial Position</t>
  </si>
  <si>
    <t>Assets</t>
  </si>
  <si>
    <t>Share</t>
  </si>
  <si>
    <t xml:space="preserve">Retained </t>
  </si>
  <si>
    <t>Current Assets</t>
  </si>
  <si>
    <t>Capital</t>
  </si>
  <si>
    <t>Earnings</t>
  </si>
  <si>
    <t>Equity</t>
  </si>
  <si>
    <t>Gross Profit</t>
  </si>
  <si>
    <t>Beginning Balance</t>
  </si>
  <si>
    <t>Accounts Receivables (net)</t>
  </si>
  <si>
    <t>Less Expenses:</t>
  </si>
  <si>
    <t>Net Income</t>
  </si>
  <si>
    <t>Prepaids</t>
  </si>
  <si>
    <t>Ending Balance</t>
  </si>
  <si>
    <t>Total Current Assets</t>
  </si>
  <si>
    <t>Non-current Assets</t>
  </si>
  <si>
    <t>Property, Plant &amp; Equipment (net)</t>
  </si>
  <si>
    <t>Total Non-current Assets</t>
  </si>
  <si>
    <t>Operating Income</t>
  </si>
  <si>
    <t>Total Assets</t>
  </si>
  <si>
    <t>Liabilities</t>
  </si>
  <si>
    <t>Current Liabilities</t>
  </si>
  <si>
    <t>Accounts payable</t>
  </si>
  <si>
    <t>Total Current Liabilities</t>
  </si>
  <si>
    <t>Non-current Liabilities</t>
  </si>
  <si>
    <t>Total Non-current Liabilities</t>
  </si>
  <si>
    <t>Total Liabilities</t>
  </si>
  <si>
    <t>Stockholders' Equity</t>
  </si>
  <si>
    <t>Share Capital</t>
  </si>
  <si>
    <t>Retained Earnings</t>
  </si>
  <si>
    <t>Total Equity</t>
  </si>
  <si>
    <t>Total Liabilities &amp; Shareholders' Equity</t>
  </si>
  <si>
    <t>Dividends Payable</t>
  </si>
  <si>
    <t>Closing Entries</t>
  </si>
  <si>
    <t>AJEs</t>
  </si>
  <si>
    <t>AJEs, Adjusted Trial Balance, Financial Statements &amp; Closing</t>
  </si>
  <si>
    <t xml:space="preserve">Close dividends to retained earnings. </t>
  </si>
  <si>
    <t>Close revenue &amp; expense accounts to retained earnings</t>
  </si>
  <si>
    <t>Financial Statements</t>
  </si>
  <si>
    <t>Trial Balance Worksheet</t>
  </si>
  <si>
    <t>LECTURE 04</t>
  </si>
  <si>
    <t>The cost of sales from event (a) above is $3,400</t>
  </si>
  <si>
    <t>Prepaid Rent</t>
  </si>
  <si>
    <t>Loss Allowance</t>
  </si>
  <si>
    <t>Dividends</t>
  </si>
  <si>
    <t>Cost of Goods Sold</t>
  </si>
  <si>
    <t>Retained Eearnings</t>
  </si>
  <si>
    <t>Saja &amp; Co.</t>
  </si>
  <si>
    <t>In-Class Lecture Example: Saja &amp; Co</t>
  </si>
  <si>
    <t>Saja &amp; Co delivered $15,000 worth of goods this period (20245, of which it has already received advance payment for last year in 2024.</t>
  </si>
  <si>
    <t xml:space="preserve">On 1 Jan 2024,  Saja &amp; Co had paid 3 years rent in advance in the total amount of $21,000, which was recorded to Prepaid Rent. </t>
  </si>
  <si>
    <t xml:space="preserve">In 2023, Saja &amp; Co had purchased PP&amp;E for $100,000, which is depreciated for 10 years on a straight line basis. </t>
  </si>
  <si>
    <t xml:space="preserve">Based on past experience, Saja &amp; Co estimates bad debt expense for 2025 is $2,100. The contra account to Accounts Receivable is "Loss Allowance" </t>
  </si>
  <si>
    <t xml:space="preserve">Saja &amp; Co estimates income tax in 2025 to be $1,300. </t>
  </si>
  <si>
    <t>At December 31, 2025</t>
  </si>
  <si>
    <t>For the Year Ended December 31, 2025</t>
  </si>
  <si>
    <t>*Note: The closing entries can also be combined into one single entry as follows:</t>
  </si>
  <si>
    <t>Adjusting Journal Entries (AJEs)</t>
  </si>
  <si>
    <t>Adjusted TB</t>
  </si>
  <si>
    <t>Unadjusted TB</t>
  </si>
  <si>
    <t>Post Closing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</si>
</sst>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&quot;$&quot;* #,##0_);_(&quot;$&quot;* \(#,##0\);_(&quot;$&quot;* &quot;-&quot;??_);_(@_)"/>
    <numFmt numFmtId="168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u/>
      <sz val="12"/>
      <color theme="8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40404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/>
      <diagonal/>
    </border>
    <border>
      <left style="medium">
        <color rgb="FF404040"/>
      </left>
      <right/>
      <top style="medium">
        <color rgb="FF404040"/>
      </top>
      <bottom style="medium">
        <color rgb="FF404040"/>
      </bottom>
      <diagonal/>
    </border>
    <border>
      <left/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/>
      <top style="medium">
        <color rgb="FF404040"/>
      </top>
      <bottom style="medium">
        <color rgb="FF40404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04040"/>
      </left>
      <right style="medium">
        <color rgb="FF404040"/>
      </right>
      <top/>
      <bottom style="thick">
        <color rgb="FF404040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thick">
        <color rgb="FF404040"/>
      </bottom>
      <diagonal/>
    </border>
    <border>
      <left style="medium">
        <color rgb="FF404040"/>
      </left>
      <right/>
      <top style="medium">
        <color rgb="FF404040"/>
      </top>
      <bottom style="thick">
        <color rgb="FF404040"/>
      </bottom>
      <diagonal/>
    </border>
    <border>
      <left/>
      <right style="medium">
        <color rgb="FF404040"/>
      </right>
      <top style="medium">
        <color rgb="FF404040"/>
      </top>
      <bottom style="thick">
        <color rgb="FF404040"/>
      </bottom>
      <diagonal/>
    </border>
    <border>
      <left style="medium">
        <color rgb="FF404040"/>
      </left>
      <right style="medium">
        <color rgb="FF404040"/>
      </right>
      <top/>
      <bottom style="medium">
        <color rgb="FF404040"/>
      </bottom>
      <diagonal/>
    </border>
    <border>
      <left style="medium">
        <color rgb="FF404040"/>
      </left>
      <right/>
      <top/>
      <bottom style="medium">
        <color rgb="FF404040"/>
      </bottom>
      <diagonal/>
    </border>
    <border>
      <left/>
      <right style="medium">
        <color rgb="FF404040"/>
      </right>
      <top/>
      <bottom style="medium">
        <color rgb="FF40404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167" fontId="2" fillId="0" borderId="0" xfId="2" applyNumberFormat="1" applyFont="1"/>
    <xf numFmtId="0" fontId="4" fillId="0" borderId="0" xfId="0" applyFont="1"/>
    <xf numFmtId="167" fontId="4" fillId="0" borderId="0" xfId="2" applyNumberFormat="1" applyFont="1"/>
    <xf numFmtId="165" fontId="8" fillId="0" borderId="0" xfId="2" applyFont="1" applyFill="1" applyBorder="1" applyAlignment="1">
      <alignment horizontal="center"/>
    </xf>
    <xf numFmtId="0" fontId="4" fillId="2" borderId="9" xfId="0" applyFont="1" applyFill="1" applyBorder="1" applyAlignment="1">
      <alignment horizontal="left" vertical="top"/>
    </xf>
    <xf numFmtId="0" fontId="10" fillId="0" borderId="11" xfId="0" applyFont="1" applyBorder="1"/>
    <xf numFmtId="0" fontId="10" fillId="0" borderId="2" xfId="0" applyFont="1" applyBorder="1"/>
    <xf numFmtId="0" fontId="10" fillId="0" borderId="4" xfId="0" applyFont="1" applyBorder="1"/>
    <xf numFmtId="167" fontId="10" fillId="0" borderId="11" xfId="2" applyNumberFormat="1" applyFont="1" applyBorder="1"/>
    <xf numFmtId="165" fontId="10" fillId="0" borderId="0" xfId="2" applyFont="1" applyBorder="1"/>
    <xf numFmtId="0" fontId="5" fillId="3" borderId="16" xfId="0" applyFont="1" applyFill="1" applyBorder="1" applyAlignment="1">
      <alignment horizontal="left" vertical="center" wrapText="1"/>
    </xf>
    <xf numFmtId="168" fontId="5" fillId="3" borderId="16" xfId="1" applyNumberFormat="1" applyFont="1" applyFill="1" applyBorder="1" applyAlignment="1">
      <alignment vertical="center" wrapText="1" readingOrder="1"/>
    </xf>
    <xf numFmtId="168" fontId="11" fillId="3" borderId="17" xfId="1" applyNumberFormat="1" applyFont="1" applyFill="1" applyBorder="1" applyAlignment="1">
      <alignment vertical="center" wrapText="1" readingOrder="1"/>
    </xf>
    <xf numFmtId="168" fontId="11" fillId="3" borderId="18" xfId="1" applyNumberFormat="1" applyFont="1" applyFill="1" applyBorder="1" applyAlignment="1">
      <alignment vertical="center" wrapText="1" readingOrder="1"/>
    </xf>
    <xf numFmtId="168" fontId="11" fillId="3" borderId="16" xfId="1" applyNumberFormat="1" applyFont="1" applyFill="1" applyBorder="1" applyAlignment="1">
      <alignment vertical="center" wrapText="1" readingOrder="1"/>
    </xf>
    <xf numFmtId="0" fontId="4" fillId="2" borderId="19" xfId="0" applyFont="1" applyFill="1" applyBorder="1" applyAlignment="1">
      <alignment horizontal="left"/>
    </xf>
    <xf numFmtId="167" fontId="10" fillId="0" borderId="11" xfId="2" applyNumberFormat="1" applyFont="1" applyFill="1" applyBorder="1"/>
    <xf numFmtId="165" fontId="10" fillId="0" borderId="0" xfId="2" applyFont="1" applyFill="1" applyBorder="1"/>
    <xf numFmtId="0" fontId="5" fillId="3" borderId="21" xfId="0" applyFont="1" applyFill="1" applyBorder="1" applyAlignment="1">
      <alignment horizontal="left" vertical="center" wrapText="1"/>
    </xf>
    <xf numFmtId="168" fontId="5" fillId="3" borderId="21" xfId="1" applyNumberFormat="1" applyFont="1" applyFill="1" applyBorder="1" applyAlignment="1">
      <alignment vertical="center" wrapText="1" readingOrder="1"/>
    </xf>
    <xf numFmtId="168" fontId="11" fillId="3" borderId="6" xfId="1" applyNumberFormat="1" applyFont="1" applyFill="1" applyBorder="1" applyAlignment="1">
      <alignment vertical="center" wrapText="1" readingOrder="1"/>
    </xf>
    <xf numFmtId="168" fontId="11" fillId="3" borderId="7" xfId="1" applyNumberFormat="1" applyFont="1" applyFill="1" applyBorder="1" applyAlignment="1">
      <alignment vertical="center" wrapText="1" readingOrder="1"/>
    </xf>
    <xf numFmtId="168" fontId="11" fillId="3" borderId="21" xfId="1" applyNumberFormat="1" applyFont="1" applyFill="1" applyBorder="1" applyAlignment="1">
      <alignment vertical="center" wrapText="1" readingOrder="1"/>
    </xf>
    <xf numFmtId="0" fontId="10" fillId="0" borderId="2" xfId="0" applyFont="1" applyBorder="1" applyAlignment="1">
      <alignment horizontal="left" indent="1"/>
    </xf>
    <xf numFmtId="0" fontId="10" fillId="0" borderId="4" xfId="0" applyFont="1" applyBorder="1" applyAlignment="1">
      <alignment horizontal="left" indent="1"/>
    </xf>
    <xf numFmtId="0" fontId="4" fillId="2" borderId="9" xfId="0" quotePrefix="1" applyFont="1" applyFill="1" applyBorder="1" applyAlignment="1">
      <alignment horizontal="left" vertical="top"/>
    </xf>
    <xf numFmtId="0" fontId="10" fillId="0" borderId="11" xfId="0" applyFont="1" applyBorder="1" applyAlignment="1">
      <alignment horizontal="center" vertical="top"/>
    </xf>
    <xf numFmtId="0" fontId="4" fillId="2" borderId="22" xfId="0" applyFont="1" applyFill="1" applyBorder="1"/>
    <xf numFmtId="0" fontId="5" fillId="0" borderId="0" xfId="0" applyFont="1"/>
    <xf numFmtId="0" fontId="4" fillId="0" borderId="0" xfId="0" applyFont="1" applyAlignment="1">
      <alignment wrapText="1"/>
    </xf>
    <xf numFmtId="0" fontId="9" fillId="0" borderId="0" xfId="0" applyFont="1"/>
    <xf numFmtId="168" fontId="4" fillId="0" borderId="0" xfId="0" applyNumberFormat="1" applyFont="1"/>
    <xf numFmtId="168" fontId="9" fillId="0" borderId="0" xfId="0" applyNumberFormat="1" applyFont="1"/>
    <xf numFmtId="0" fontId="2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4" fillId="0" borderId="21" xfId="0" applyFont="1" applyBorder="1"/>
    <xf numFmtId="168" fontId="4" fillId="0" borderId="21" xfId="0" applyNumberFormat="1" applyFont="1" applyBorder="1"/>
    <xf numFmtId="0" fontId="8" fillId="0" borderId="11" xfId="0" applyFont="1" applyBorder="1"/>
    <xf numFmtId="0" fontId="8" fillId="4" borderId="11" xfId="0" applyFont="1" applyFill="1" applyBorder="1" applyAlignment="1">
      <alignment horizontal="center"/>
    </xf>
    <xf numFmtId="167" fontId="8" fillId="4" borderId="11" xfId="2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vertical="top" wrapText="1"/>
    </xf>
    <xf numFmtId="0" fontId="4" fillId="2" borderId="20" xfId="0" applyFont="1" applyFill="1" applyBorder="1" applyAlignment="1">
      <alignment vertical="top" wrapText="1"/>
    </xf>
    <xf numFmtId="0" fontId="4" fillId="2" borderId="23" xfId="0" applyFont="1" applyFill="1" applyBorder="1" applyAlignment="1">
      <alignment vertical="top" wrapText="1"/>
    </xf>
    <xf numFmtId="16" fontId="10" fillId="0" borderId="11" xfId="0" applyNumberFormat="1" applyFont="1" applyBorder="1"/>
    <xf numFmtId="0" fontId="5" fillId="0" borderId="0" xfId="0" applyFont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4" fillId="2" borderId="22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 vertical="center" wrapText="1" readingOrder="1"/>
    </xf>
    <xf numFmtId="0" fontId="9" fillId="5" borderId="14" xfId="0" applyFont="1" applyFill="1" applyBorder="1" applyAlignment="1">
      <alignment horizontal="center" vertical="center" wrapText="1" readingOrder="1"/>
    </xf>
    <xf numFmtId="0" fontId="6" fillId="5" borderId="15" xfId="0" applyFont="1" applyFill="1" applyBorder="1" applyAlignment="1">
      <alignment horizontal="center" vertical="center" wrapText="1" readingOrder="1"/>
    </xf>
    <xf numFmtId="0" fontId="6" fillId="5" borderId="13" xfId="0" applyFont="1" applyFill="1" applyBorder="1" applyAlignment="1">
      <alignment horizontal="center" vertical="center" wrapText="1" readingOrder="1"/>
    </xf>
    <xf numFmtId="0" fontId="5" fillId="6" borderId="21" xfId="0" applyFont="1" applyFill="1" applyBorder="1" applyAlignment="1">
      <alignment horizontal="center" vertical="center" wrapText="1" readingOrder="1"/>
    </xf>
    <xf numFmtId="0" fontId="5" fillId="3" borderId="22" xfId="0" applyFont="1" applyFill="1" applyBorder="1"/>
    <xf numFmtId="0" fontId="4" fillId="3" borderId="0" xfId="0" applyFont="1" applyFill="1"/>
    <xf numFmtId="0" fontId="4" fillId="3" borderId="23" xfId="0" applyFont="1" applyFill="1" applyBorder="1"/>
    <xf numFmtId="0" fontId="4" fillId="3" borderId="22" xfId="0" applyFont="1" applyFill="1" applyBorder="1"/>
    <xf numFmtId="0" fontId="4" fillId="3" borderId="20" xfId="0" applyFont="1" applyFill="1" applyBorder="1"/>
    <xf numFmtId="167" fontId="4" fillId="3" borderId="23" xfId="0" applyNumberFormat="1" applyFont="1" applyFill="1" applyBorder="1"/>
    <xf numFmtId="167" fontId="5" fillId="3" borderId="27" xfId="0" applyNumberFormat="1" applyFont="1" applyFill="1" applyBorder="1"/>
    <xf numFmtId="167" fontId="4" fillId="3" borderId="10" xfId="0" applyNumberFormat="1" applyFont="1" applyFill="1" applyBorder="1"/>
    <xf numFmtId="167" fontId="4" fillId="3" borderId="20" xfId="0" applyNumberFormat="1" applyFont="1" applyFill="1" applyBorder="1"/>
    <xf numFmtId="167" fontId="5" fillId="3" borderId="20" xfId="0" applyNumberFormat="1" applyFont="1" applyFill="1" applyBorder="1"/>
    <xf numFmtId="168" fontId="5" fillId="3" borderId="23" xfId="0" applyNumberFormat="1" applyFont="1" applyFill="1" applyBorder="1"/>
    <xf numFmtId="0" fontId="4" fillId="3" borderId="19" xfId="0" applyFont="1" applyFill="1" applyBorder="1"/>
    <xf numFmtId="0" fontId="4" fillId="3" borderId="24" xfId="0" applyFont="1" applyFill="1" applyBorder="1"/>
    <xf numFmtId="0" fontId="4" fillId="3" borderId="0" xfId="0" applyFont="1" applyFill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167" fontId="4" fillId="3" borderId="25" xfId="2" applyNumberFormat="1" applyFont="1" applyFill="1" applyBorder="1"/>
    <xf numFmtId="167" fontId="4" fillId="3" borderId="0" xfId="2" applyNumberFormat="1" applyFont="1" applyFill="1" applyBorder="1"/>
    <xf numFmtId="167" fontId="4" fillId="3" borderId="26" xfId="2" applyNumberFormat="1" applyFont="1" applyFill="1" applyBorder="1"/>
    <xf numFmtId="167" fontId="4" fillId="3" borderId="23" xfId="2" applyNumberFormat="1" applyFont="1" applyFill="1" applyBorder="1"/>
    <xf numFmtId="0" fontId="4" fillId="3" borderId="22" xfId="0" applyFont="1" applyFill="1" applyBorder="1" applyAlignment="1">
      <alignment horizontal="left" indent="1"/>
    </xf>
    <xf numFmtId="0" fontId="4" fillId="3" borderId="0" xfId="0" applyFont="1" applyFill="1" applyAlignment="1">
      <alignment horizontal="left"/>
    </xf>
    <xf numFmtId="0" fontId="4" fillId="2" borderId="10" xfId="0" applyFont="1" applyFill="1" applyBorder="1" applyAlignment="1">
      <alignment horizontal="left" vertical="top" wrapText="1"/>
    </xf>
    <xf numFmtId="0" fontId="4" fillId="2" borderId="23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left" vertical="top" wrapText="1"/>
    </xf>
    <xf numFmtId="0" fontId="4" fillId="2" borderId="22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5" fillId="3" borderId="19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horizontal="center" vertical="center" wrapText="1" readingOrder="1"/>
    </xf>
    <xf numFmtId="0" fontId="6" fillId="5" borderId="6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wrapText="1" readingOrder="1"/>
    </xf>
    <xf numFmtId="0" fontId="6" fillId="5" borderId="7" xfId="0" applyFont="1" applyFill="1" applyBorder="1" applyAlignment="1">
      <alignment horizontal="center" vertical="center" wrapText="1" readingOrder="1"/>
    </xf>
    <xf numFmtId="0" fontId="5" fillId="6" borderId="21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 wrapText="1"/>
    </xf>
    <xf numFmtId="0" fontId="14" fillId="0" borderId="0" xfId="0" applyFont="1"/>
    <xf numFmtId="167" fontId="14" fillId="0" borderId="0" xfId="2" applyNumberFormat="1" applyFont="1"/>
    <xf numFmtId="0" fontId="14" fillId="0" borderId="0" xfId="0" applyFont="1" applyAlignment="1">
      <alignment wrapText="1"/>
    </xf>
    <xf numFmtId="0" fontId="15" fillId="0" borderId="0" xfId="0" applyFont="1"/>
    <xf numFmtId="0" fontId="16" fillId="0" borderId="0" xfId="0" applyFont="1"/>
    <xf numFmtId="16" fontId="16" fillId="0" borderId="0" xfId="0" applyNumberFormat="1" applyFont="1"/>
    <xf numFmtId="167" fontId="16" fillId="0" borderId="0" xfId="2" applyNumberFormat="1" applyFont="1"/>
    <xf numFmtId="0" fontId="17" fillId="0" borderId="0" xfId="0" applyFont="1"/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3" borderId="0" xfId="0" applyFont="1" applyFill="1" applyBorder="1"/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 readingOrder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57C3-B285-4DEA-A106-A223E88784EE}">
  <dimension ref="A1:AK52"/>
  <sheetViews>
    <sheetView tabSelected="1" topLeftCell="A27" zoomScale="96" zoomScaleNormal="96" workbookViewId="0">
      <selection activeCell="V25" sqref="V25"/>
    </sheetView>
  </sheetViews>
  <sheetFormatPr defaultColWidth="8.6328125" defaultRowHeight="14" x14ac:dyDescent="0.3"/>
  <cols>
    <col min="1" max="1" width="3.54296875" style="1" customWidth="1"/>
    <col min="2" max="2" width="58.54296875" style="1" customWidth="1"/>
    <col min="3" max="3" width="11.08984375" style="1" bestFit="1" customWidth="1"/>
    <col min="4" max="4" width="8.6328125" style="1"/>
    <col min="5" max="5" width="31.453125" style="1" customWidth="1"/>
    <col min="6" max="7" width="11.6328125" style="2" bestFit="1" customWidth="1"/>
    <col min="8" max="8" width="5.453125" style="1" customWidth="1"/>
    <col min="9" max="9" width="41.54296875" style="35" customWidth="1"/>
    <col min="10" max="11" width="12" style="1" bestFit="1" customWidth="1"/>
    <col min="12" max="12" width="5.54296875" style="36" bestFit="1" customWidth="1"/>
    <col min="13" max="14" width="10.90625" style="37" bestFit="1" customWidth="1"/>
    <col min="15" max="16" width="12" style="1" bestFit="1" customWidth="1"/>
    <col min="17" max="17" width="10.6328125" style="1" customWidth="1"/>
    <col min="18" max="18" width="11.81640625" style="1" customWidth="1"/>
    <col min="19" max="20" width="12" style="1" customWidth="1"/>
    <col min="21" max="22" width="8.6328125" style="1" customWidth="1"/>
    <col min="23" max="23" width="23.453125" style="1" customWidth="1"/>
    <col min="24" max="24" width="8.6328125" style="1" customWidth="1"/>
    <col min="25" max="25" width="12.6328125" style="1" customWidth="1"/>
    <col min="26" max="26" width="8.6328125" style="1" customWidth="1"/>
    <col min="27" max="27" width="22.36328125" style="1" customWidth="1"/>
    <col min="28" max="28" width="13.08984375" style="1" customWidth="1"/>
    <col min="29" max="29" width="2.54296875" style="1" customWidth="1"/>
    <col min="30" max="30" width="11.81640625" style="1" customWidth="1"/>
    <col min="31" max="31" width="3.453125" style="1" customWidth="1"/>
    <col min="32" max="32" width="13.08984375" style="1" customWidth="1"/>
    <col min="33" max="34" width="8.6328125" style="1"/>
    <col min="35" max="35" width="30.36328125" style="1" customWidth="1"/>
    <col min="36" max="36" width="8.6328125" style="1"/>
    <col min="37" max="37" width="13.6328125" style="1" customWidth="1"/>
    <col min="38" max="16384" width="8.6328125" style="1"/>
  </cols>
  <sheetData>
    <row r="1" spans="1:37" s="3" customFormat="1" ht="18" x14ac:dyDescent="0.4">
      <c r="A1" s="30" t="s">
        <v>73</v>
      </c>
      <c r="F1" s="4"/>
      <c r="G1" s="4"/>
      <c r="I1" s="31"/>
      <c r="L1" s="32"/>
      <c r="M1" s="32"/>
      <c r="N1" s="32"/>
    </row>
    <row r="2" spans="1:37" s="3" customFormat="1" ht="34.5" x14ac:dyDescent="0.65">
      <c r="A2" s="30" t="s">
        <v>81</v>
      </c>
      <c r="F2" s="4"/>
      <c r="G2" s="4"/>
      <c r="I2" s="87" t="s">
        <v>72</v>
      </c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V2" s="86" t="s">
        <v>71</v>
      </c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</row>
    <row r="3" spans="1:37" s="3" customFormat="1" ht="18" customHeight="1" x14ac:dyDescent="0.4">
      <c r="A3" s="30" t="s">
        <v>68</v>
      </c>
      <c r="F3" s="4"/>
      <c r="G3" s="4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</row>
    <row r="4" spans="1:37" s="3" customFormat="1" ht="18.649999999999999" customHeight="1" thickBot="1" x14ac:dyDescent="0.45">
      <c r="F4" s="4"/>
      <c r="G4" s="4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V4" s="91" t="s">
        <v>80</v>
      </c>
      <c r="W4" s="92"/>
      <c r="X4" s="92"/>
      <c r="Y4" s="93"/>
      <c r="AA4" s="91" t="str">
        <f>V4</f>
        <v>Saja &amp; Co.</v>
      </c>
      <c r="AB4" s="92"/>
      <c r="AC4" s="92"/>
      <c r="AD4" s="92"/>
      <c r="AE4" s="92"/>
      <c r="AF4" s="93"/>
      <c r="AH4" s="91" t="str">
        <f>V4</f>
        <v>Saja &amp; Co.</v>
      </c>
      <c r="AI4" s="92"/>
      <c r="AJ4" s="92"/>
      <c r="AK4" s="93"/>
    </row>
    <row r="5" spans="1:37" s="3" customFormat="1" ht="18.5" thickBot="1" x14ac:dyDescent="0.45">
      <c r="C5" s="118" t="s">
        <v>90</v>
      </c>
      <c r="D5" s="119"/>
      <c r="E5" s="119"/>
      <c r="F5" s="119"/>
      <c r="G5" s="120"/>
      <c r="I5" s="121" t="s">
        <v>0</v>
      </c>
      <c r="J5" s="122" t="s">
        <v>92</v>
      </c>
      <c r="K5" s="123"/>
      <c r="L5" s="99" t="s">
        <v>67</v>
      </c>
      <c r="M5" s="100"/>
      <c r="N5" s="101"/>
      <c r="O5" s="97" t="s">
        <v>91</v>
      </c>
      <c r="P5" s="98"/>
      <c r="Q5" s="102" t="s">
        <v>66</v>
      </c>
      <c r="R5" s="102"/>
      <c r="S5" s="103" t="s">
        <v>93</v>
      </c>
      <c r="T5" s="103"/>
      <c r="V5" s="94" t="s">
        <v>30</v>
      </c>
      <c r="W5" s="95"/>
      <c r="X5" s="95"/>
      <c r="Y5" s="96"/>
      <c r="AA5" s="94" t="s">
        <v>31</v>
      </c>
      <c r="AB5" s="95"/>
      <c r="AC5" s="95"/>
      <c r="AD5" s="95"/>
      <c r="AE5" s="95"/>
      <c r="AF5" s="96"/>
      <c r="AH5" s="94" t="s">
        <v>32</v>
      </c>
      <c r="AI5" s="112"/>
      <c r="AJ5" s="112"/>
      <c r="AK5" s="96"/>
    </row>
    <row r="6" spans="1:37" s="3" customFormat="1" ht="19" thickBot="1" x14ac:dyDescent="0.5">
      <c r="A6" s="81" t="s">
        <v>1</v>
      </c>
      <c r="B6" s="82"/>
      <c r="C6" s="41" t="s">
        <v>2</v>
      </c>
      <c r="D6" s="83" t="s">
        <v>3</v>
      </c>
      <c r="E6" s="83"/>
      <c r="F6" s="42" t="s">
        <v>4</v>
      </c>
      <c r="G6" s="42" t="s">
        <v>5</v>
      </c>
      <c r="H6" s="5"/>
      <c r="I6" s="124"/>
      <c r="J6" s="125" t="s">
        <v>4</v>
      </c>
      <c r="K6" s="125" t="s">
        <v>5</v>
      </c>
      <c r="L6" s="51"/>
      <c r="M6" s="52" t="s">
        <v>4</v>
      </c>
      <c r="N6" s="53" t="s">
        <v>5</v>
      </c>
      <c r="O6" s="50" t="s">
        <v>4</v>
      </c>
      <c r="P6" s="50" t="s">
        <v>5</v>
      </c>
      <c r="Q6" s="54" t="s">
        <v>4</v>
      </c>
      <c r="R6" s="54" t="s">
        <v>5</v>
      </c>
      <c r="S6" s="54" t="s">
        <v>4</v>
      </c>
      <c r="T6" s="54" t="s">
        <v>5</v>
      </c>
      <c r="V6" s="88" t="s">
        <v>88</v>
      </c>
      <c r="W6" s="89"/>
      <c r="X6" s="89"/>
      <c r="Y6" s="90"/>
      <c r="AA6" s="88" t="s">
        <v>88</v>
      </c>
      <c r="AB6" s="89"/>
      <c r="AC6" s="89"/>
      <c r="AD6" s="89"/>
      <c r="AE6" s="89"/>
      <c r="AF6" s="90"/>
      <c r="AH6" s="88" t="s">
        <v>87</v>
      </c>
      <c r="AI6" s="89"/>
      <c r="AJ6" s="89"/>
      <c r="AK6" s="90"/>
    </row>
    <row r="7" spans="1:37" s="3" customFormat="1" ht="19.25" customHeight="1" thickTop="1" thickBot="1" x14ac:dyDescent="0.5">
      <c r="A7" s="6" t="s">
        <v>6</v>
      </c>
      <c r="B7" s="78" t="s">
        <v>82</v>
      </c>
      <c r="C7" s="7" t="str">
        <f>A7</f>
        <v>(a)</v>
      </c>
      <c r="D7" s="8" t="str">
        <f>I16</f>
        <v>Unearned Revenue</v>
      </c>
      <c r="E7" s="9"/>
      <c r="F7" s="10">
        <v>15000</v>
      </c>
      <c r="G7" s="10"/>
      <c r="H7" s="11"/>
      <c r="I7" s="12" t="s">
        <v>7</v>
      </c>
      <c r="J7" s="13">
        <v>130000</v>
      </c>
      <c r="K7" s="13"/>
      <c r="L7" s="14"/>
      <c r="M7" s="15"/>
      <c r="N7" s="16"/>
      <c r="O7" s="13">
        <f>J7+M7-N7</f>
        <v>130000</v>
      </c>
      <c r="P7" s="13"/>
      <c r="Q7" s="38"/>
      <c r="R7" s="38"/>
      <c r="S7" s="13">
        <f>O7+Q7-R7</f>
        <v>130000</v>
      </c>
      <c r="T7" s="13"/>
      <c r="V7" s="58"/>
      <c r="W7" s="56"/>
      <c r="X7" s="56"/>
      <c r="Y7" s="57"/>
      <c r="AA7" s="58"/>
      <c r="AB7" s="56"/>
      <c r="AC7" s="56"/>
      <c r="AD7" s="56"/>
      <c r="AE7" s="56"/>
      <c r="AF7" s="57"/>
      <c r="AH7" s="55" t="s">
        <v>33</v>
      </c>
      <c r="AI7" s="113"/>
      <c r="AJ7" s="113"/>
      <c r="AK7" s="57"/>
    </row>
    <row r="8" spans="1:37" s="3" customFormat="1" ht="19" thickBot="1" x14ac:dyDescent="0.5">
      <c r="A8" s="49"/>
      <c r="B8" s="79"/>
      <c r="C8" s="7"/>
      <c r="D8" s="8"/>
      <c r="E8" s="9" t="str">
        <f>I22</f>
        <v>Sales Revenue</v>
      </c>
      <c r="F8" s="18"/>
      <c r="G8" s="18">
        <f>F7</f>
        <v>15000</v>
      </c>
      <c r="H8" s="19"/>
      <c r="I8" s="20" t="s">
        <v>8</v>
      </c>
      <c r="J8" s="21">
        <v>45000</v>
      </c>
      <c r="K8" s="21"/>
      <c r="L8" s="22"/>
      <c r="M8" s="23"/>
      <c r="N8" s="24"/>
      <c r="O8" s="13">
        <f>J8+M8-N8</f>
        <v>45000</v>
      </c>
      <c r="P8" s="21"/>
      <c r="Q8" s="38"/>
      <c r="R8" s="38"/>
      <c r="S8" s="13">
        <f>O8+Q8-R8</f>
        <v>45000</v>
      </c>
      <c r="T8" s="21"/>
      <c r="V8" s="58" t="s">
        <v>21</v>
      </c>
      <c r="W8" s="56"/>
      <c r="X8" s="56"/>
      <c r="Y8" s="60">
        <f>P22</f>
        <v>80000</v>
      </c>
      <c r="AA8" s="58"/>
      <c r="AB8" s="68" t="s">
        <v>34</v>
      </c>
      <c r="AC8" s="68"/>
      <c r="AD8" s="68" t="s">
        <v>35</v>
      </c>
      <c r="AE8" s="68"/>
      <c r="AF8" s="69" t="s">
        <v>29</v>
      </c>
      <c r="AH8" s="58" t="s">
        <v>36</v>
      </c>
      <c r="AI8" s="113"/>
      <c r="AJ8" s="113"/>
      <c r="AK8" s="57"/>
    </row>
    <row r="9" spans="1:37" s="3" customFormat="1" ht="19" thickBot="1" x14ac:dyDescent="0.5">
      <c r="A9" s="49"/>
      <c r="B9" s="79"/>
      <c r="C9" s="7"/>
      <c r="D9" s="8"/>
      <c r="E9" s="9"/>
      <c r="F9" s="18"/>
      <c r="G9" s="18"/>
      <c r="H9" s="19"/>
      <c r="I9" s="20" t="s">
        <v>76</v>
      </c>
      <c r="J9" s="21">
        <v>0</v>
      </c>
      <c r="K9" s="21"/>
      <c r="L9" s="22" t="str">
        <f>C18</f>
        <v>(e)</v>
      </c>
      <c r="M9" s="23"/>
      <c r="N9" s="24">
        <f>G19</f>
        <v>2100</v>
      </c>
      <c r="O9" s="13"/>
      <c r="P9" s="21">
        <f>K9+N9-M9</f>
        <v>2100</v>
      </c>
      <c r="Q9" s="38"/>
      <c r="R9" s="38"/>
      <c r="S9" s="13"/>
      <c r="T9" s="21">
        <f>P9+R9-Q9</f>
        <v>2100</v>
      </c>
      <c r="V9" s="76"/>
      <c r="W9" s="77" t="s">
        <v>22</v>
      </c>
      <c r="X9" s="56"/>
      <c r="Y9" s="63">
        <f>-O23</f>
        <v>-18400</v>
      </c>
      <c r="AA9" s="58"/>
      <c r="AB9" s="70" t="s">
        <v>37</v>
      </c>
      <c r="AC9" s="68"/>
      <c r="AD9" s="70" t="s">
        <v>38</v>
      </c>
      <c r="AE9" s="68"/>
      <c r="AF9" s="71" t="s">
        <v>39</v>
      </c>
      <c r="AH9" s="58"/>
      <c r="AI9" s="113" t="s">
        <v>7</v>
      </c>
      <c r="AJ9" s="113"/>
      <c r="AK9" s="60">
        <f>O7</f>
        <v>130000</v>
      </c>
    </row>
    <row r="10" spans="1:37" s="3" customFormat="1" ht="19" thickBot="1" x14ac:dyDescent="0.5">
      <c r="A10" s="6" t="s">
        <v>9</v>
      </c>
      <c r="B10" s="78" t="s">
        <v>74</v>
      </c>
      <c r="C10" s="7" t="str">
        <f>A10</f>
        <v>(b)</v>
      </c>
      <c r="D10" s="8" t="str">
        <f>I23</f>
        <v>Cost of Goods Sold</v>
      </c>
      <c r="E10" s="9"/>
      <c r="F10" s="18">
        <v>3400</v>
      </c>
      <c r="G10" s="18"/>
      <c r="H10" s="19"/>
      <c r="I10" s="20" t="s">
        <v>10</v>
      </c>
      <c r="J10" s="21">
        <v>20000</v>
      </c>
      <c r="K10" s="21"/>
      <c r="L10" s="22" t="str">
        <f>C10</f>
        <v>(b)</v>
      </c>
      <c r="M10" s="23"/>
      <c r="N10" s="24">
        <f>G11</f>
        <v>3400</v>
      </c>
      <c r="O10" s="13">
        <f>J10+M10-N10</f>
        <v>16600</v>
      </c>
      <c r="P10" s="21"/>
      <c r="Q10" s="38"/>
      <c r="R10" s="38"/>
      <c r="S10" s="13">
        <f>O10+Q10-R10</f>
        <v>16600</v>
      </c>
      <c r="T10" s="21"/>
      <c r="V10" s="58" t="s">
        <v>40</v>
      </c>
      <c r="W10" s="56"/>
      <c r="X10" s="56"/>
      <c r="Y10" s="63">
        <f>SUM(Y8:Y9)</f>
        <v>61600</v>
      </c>
      <c r="AA10" s="58" t="s">
        <v>41</v>
      </c>
      <c r="AB10" s="72">
        <f>P19</f>
        <v>120000</v>
      </c>
      <c r="AC10" s="73"/>
      <c r="AD10" s="72">
        <f>P20</f>
        <v>31000</v>
      </c>
      <c r="AE10" s="73"/>
      <c r="AF10" s="74">
        <f>SUM(AB10:AD10)</f>
        <v>151000</v>
      </c>
      <c r="AH10" s="58"/>
      <c r="AI10" s="113" t="s">
        <v>42</v>
      </c>
      <c r="AJ10" s="113"/>
      <c r="AK10" s="60">
        <f>O8-P9</f>
        <v>42900</v>
      </c>
    </row>
    <row r="11" spans="1:37" s="3" customFormat="1" ht="18.649999999999999" customHeight="1" thickBot="1" x14ac:dyDescent="0.5">
      <c r="A11" s="17"/>
      <c r="B11" s="80"/>
      <c r="C11" s="7"/>
      <c r="D11" s="25"/>
      <c r="E11" s="26" t="str">
        <f>I10</f>
        <v>Inventory</v>
      </c>
      <c r="F11" s="18"/>
      <c r="G11" s="18">
        <f>F10</f>
        <v>3400</v>
      </c>
      <c r="H11" s="19"/>
      <c r="I11" s="20" t="s">
        <v>75</v>
      </c>
      <c r="J11" s="21">
        <v>14000</v>
      </c>
      <c r="K11" s="21"/>
      <c r="L11" s="22" t="str">
        <f>C12</f>
        <v xml:space="preserve">(c)  </v>
      </c>
      <c r="M11" s="23"/>
      <c r="N11" s="24">
        <f>G13</f>
        <v>7000</v>
      </c>
      <c r="O11" s="13">
        <f>J11+M11-N11</f>
        <v>7000</v>
      </c>
      <c r="P11" s="21"/>
      <c r="Q11" s="38"/>
      <c r="R11" s="38"/>
      <c r="S11" s="13">
        <f>O11+Q11-R11</f>
        <v>7000</v>
      </c>
      <c r="T11" s="21"/>
      <c r="V11" s="58" t="s">
        <v>43</v>
      </c>
      <c r="W11" s="56"/>
      <c r="X11" s="56"/>
      <c r="Y11" s="60"/>
      <c r="AA11" s="58" t="s">
        <v>44</v>
      </c>
      <c r="AB11" s="73"/>
      <c r="AC11" s="73"/>
      <c r="AD11" s="73">
        <f>Y19</f>
        <v>14200</v>
      </c>
      <c r="AE11" s="73"/>
      <c r="AF11" s="75">
        <f>SUM(AB11:AD11)</f>
        <v>14200</v>
      </c>
      <c r="AH11" s="58"/>
      <c r="AI11" s="113" t="s">
        <v>10</v>
      </c>
      <c r="AJ11" s="113"/>
      <c r="AK11" s="60">
        <f>O10</f>
        <v>16600</v>
      </c>
    </row>
    <row r="12" spans="1:37" s="3" customFormat="1" ht="19" thickBot="1" x14ac:dyDescent="0.5">
      <c r="A12" s="27" t="s">
        <v>11</v>
      </c>
      <c r="B12" s="78" t="s">
        <v>83</v>
      </c>
      <c r="C12" s="7" t="str">
        <f>A12</f>
        <v xml:space="preserve">(c)  </v>
      </c>
      <c r="D12" s="8" t="str">
        <f>I26</f>
        <v>Rent Expense</v>
      </c>
      <c r="E12" s="9"/>
      <c r="F12" s="18">
        <f>21000/3</f>
        <v>7000</v>
      </c>
      <c r="G12" s="18"/>
      <c r="H12" s="19"/>
      <c r="I12" s="20" t="s">
        <v>12</v>
      </c>
      <c r="J12" s="21">
        <v>100000</v>
      </c>
      <c r="K12" s="21"/>
      <c r="L12" s="22"/>
      <c r="M12" s="23"/>
      <c r="N12" s="24"/>
      <c r="O12" s="13">
        <f>J12+M12-N12</f>
        <v>100000</v>
      </c>
      <c r="P12" s="21"/>
      <c r="Q12" s="38"/>
      <c r="R12" s="38"/>
      <c r="S12" s="13">
        <f>O12+Q12-R12</f>
        <v>100000</v>
      </c>
      <c r="T12" s="21"/>
      <c r="V12" s="58"/>
      <c r="W12" s="77" t="s">
        <v>23</v>
      </c>
      <c r="X12" s="56"/>
      <c r="Y12" s="60">
        <f>-R24</f>
        <v>-20000</v>
      </c>
      <c r="AA12" s="58" t="s">
        <v>77</v>
      </c>
      <c r="AB12" s="73"/>
      <c r="AC12" s="73"/>
      <c r="AD12" s="73">
        <f>-O21</f>
        <v>-4500</v>
      </c>
      <c r="AE12" s="73"/>
      <c r="AF12" s="75">
        <f>SUM(AB12:AD12)</f>
        <v>-4500</v>
      </c>
      <c r="AH12" s="58"/>
      <c r="AI12" s="113" t="s">
        <v>45</v>
      </c>
      <c r="AJ12" s="113"/>
      <c r="AK12" s="63">
        <f>O11</f>
        <v>7000</v>
      </c>
    </row>
    <row r="13" spans="1:37" s="3" customFormat="1" ht="18.649999999999999" customHeight="1" thickBot="1" x14ac:dyDescent="0.5">
      <c r="A13" s="49"/>
      <c r="B13" s="79"/>
      <c r="C13" s="7"/>
      <c r="D13" s="8"/>
      <c r="E13" s="9" t="str">
        <f>I11</f>
        <v>Prepaid Rent</v>
      </c>
      <c r="F13" s="18"/>
      <c r="G13" s="18">
        <f>F12</f>
        <v>7000</v>
      </c>
      <c r="H13" s="19"/>
      <c r="I13" s="20" t="s">
        <v>14</v>
      </c>
      <c r="J13" s="21"/>
      <c r="K13" s="21">
        <v>20000</v>
      </c>
      <c r="L13" s="22" t="str">
        <f>C15</f>
        <v>(d)</v>
      </c>
      <c r="M13" s="23"/>
      <c r="N13" s="24">
        <f>G16</f>
        <v>10000</v>
      </c>
      <c r="O13" s="21"/>
      <c r="P13" s="21">
        <f t="shared" ref="P13:P22" si="0">K13+N13-M13</f>
        <v>30000</v>
      </c>
      <c r="Q13" s="38"/>
      <c r="R13" s="38"/>
      <c r="S13" s="21"/>
      <c r="T13" s="21">
        <f t="shared" ref="T13:T20" si="1">P13+R13-Q13</f>
        <v>30000</v>
      </c>
      <c r="V13" s="58"/>
      <c r="W13" s="77" t="s">
        <v>24</v>
      </c>
      <c r="X13" s="56"/>
      <c r="Y13" s="60">
        <f t="shared" ref="Y13:Y16" si="2">-R25</f>
        <v>-7000</v>
      </c>
      <c r="AA13" s="58" t="s">
        <v>46</v>
      </c>
      <c r="AB13" s="72">
        <f>SUM(AB10:AB12)</f>
        <v>120000</v>
      </c>
      <c r="AC13" s="73"/>
      <c r="AD13" s="72">
        <f>SUM(AD10:AD12)</f>
        <v>40700</v>
      </c>
      <c r="AE13" s="73"/>
      <c r="AF13" s="74">
        <f>SUM(AF10:AF12)</f>
        <v>160700</v>
      </c>
      <c r="AH13" s="58"/>
      <c r="AI13" s="113" t="s">
        <v>47</v>
      </c>
      <c r="AJ13" s="113"/>
      <c r="AK13" s="60">
        <f>SUM(AK9:AK12)</f>
        <v>196500</v>
      </c>
    </row>
    <row r="14" spans="1:37" s="3" customFormat="1" ht="19" thickBot="1" x14ac:dyDescent="0.5">
      <c r="A14" s="49"/>
      <c r="B14" s="79"/>
      <c r="C14" s="7"/>
      <c r="D14" s="8"/>
      <c r="E14" s="9"/>
      <c r="F14" s="18"/>
      <c r="G14" s="18"/>
      <c r="H14" s="19"/>
      <c r="I14" s="20" t="s">
        <v>15</v>
      </c>
      <c r="J14" s="21"/>
      <c r="K14" s="21">
        <v>44000</v>
      </c>
      <c r="L14" s="22"/>
      <c r="M14" s="23"/>
      <c r="N14" s="24"/>
      <c r="O14" s="21"/>
      <c r="P14" s="21">
        <f t="shared" si="0"/>
        <v>44000</v>
      </c>
      <c r="Q14" s="38"/>
      <c r="R14" s="38"/>
      <c r="S14" s="21"/>
      <c r="T14" s="21">
        <f t="shared" si="1"/>
        <v>44000</v>
      </c>
      <c r="V14" s="58"/>
      <c r="W14" s="77" t="s">
        <v>25</v>
      </c>
      <c r="X14" s="56"/>
      <c r="Y14" s="60">
        <f t="shared" si="2"/>
        <v>-7000</v>
      </c>
      <c r="AA14" s="66"/>
      <c r="AB14" s="67"/>
      <c r="AC14" s="67"/>
      <c r="AD14" s="67"/>
      <c r="AE14" s="67"/>
      <c r="AF14" s="59"/>
      <c r="AH14" s="58" t="s">
        <v>48</v>
      </c>
      <c r="AI14" s="113"/>
      <c r="AJ14" s="113"/>
      <c r="AK14" s="57"/>
    </row>
    <row r="15" spans="1:37" s="3" customFormat="1" ht="19" customHeight="1" thickBot="1" x14ac:dyDescent="0.5">
      <c r="A15" s="6" t="s">
        <v>13</v>
      </c>
      <c r="B15" s="78" t="s">
        <v>84</v>
      </c>
      <c r="C15" s="7" t="str">
        <f>A15</f>
        <v>(d)</v>
      </c>
      <c r="D15" s="8" t="str">
        <f>I27</f>
        <v>Depreciation Expense</v>
      </c>
      <c r="E15" s="26"/>
      <c r="F15" s="18">
        <f>100000/10</f>
        <v>10000</v>
      </c>
      <c r="G15" s="18"/>
      <c r="H15" s="19"/>
      <c r="I15" s="20" t="s">
        <v>17</v>
      </c>
      <c r="J15" s="21"/>
      <c r="K15" s="21">
        <v>1500</v>
      </c>
      <c r="L15" s="22" t="str">
        <f>C21</f>
        <v>(f)</v>
      </c>
      <c r="M15" s="23"/>
      <c r="N15" s="24">
        <f>G22</f>
        <v>1300</v>
      </c>
      <c r="O15" s="21"/>
      <c r="P15" s="21">
        <f t="shared" si="0"/>
        <v>2800</v>
      </c>
      <c r="Q15" s="38"/>
      <c r="R15" s="38"/>
      <c r="S15" s="21"/>
      <c r="T15" s="21">
        <f t="shared" si="1"/>
        <v>2800</v>
      </c>
      <c r="V15" s="58"/>
      <c r="W15" s="77" t="s">
        <v>26</v>
      </c>
      <c r="X15" s="56"/>
      <c r="Y15" s="60">
        <f t="shared" si="2"/>
        <v>-10000</v>
      </c>
      <c r="AH15" s="58"/>
      <c r="AI15" s="113" t="s">
        <v>49</v>
      </c>
      <c r="AJ15" s="113"/>
      <c r="AK15" s="63">
        <f>O12-P13</f>
        <v>70000</v>
      </c>
    </row>
    <row r="16" spans="1:37" s="3" customFormat="1" ht="19" thickBot="1" x14ac:dyDescent="0.5">
      <c r="A16" s="49"/>
      <c r="B16" s="79"/>
      <c r="C16" s="28"/>
      <c r="D16" s="8"/>
      <c r="E16" s="9" t="str">
        <f>I13</f>
        <v>Accumulated Depreciation</v>
      </c>
      <c r="F16" s="18"/>
      <c r="G16" s="18">
        <f>F15</f>
        <v>10000</v>
      </c>
      <c r="H16" s="19"/>
      <c r="I16" s="20" t="s">
        <v>18</v>
      </c>
      <c r="J16" s="21"/>
      <c r="K16" s="21">
        <v>19500</v>
      </c>
      <c r="L16" s="22" t="str">
        <f>C7</f>
        <v>(a)</v>
      </c>
      <c r="M16" s="23">
        <f>F7</f>
        <v>15000</v>
      </c>
      <c r="N16" s="24"/>
      <c r="O16" s="21"/>
      <c r="P16" s="21">
        <f t="shared" si="0"/>
        <v>4500</v>
      </c>
      <c r="Q16" s="38"/>
      <c r="R16" s="38"/>
      <c r="S16" s="21"/>
      <c r="T16" s="21">
        <f t="shared" si="1"/>
        <v>4500</v>
      </c>
      <c r="V16" s="58"/>
      <c r="W16" s="77" t="s">
        <v>27</v>
      </c>
      <c r="X16" s="56"/>
      <c r="Y16" s="63">
        <f t="shared" si="2"/>
        <v>-2100</v>
      </c>
      <c r="AH16" s="58"/>
      <c r="AI16" s="113" t="s">
        <v>50</v>
      </c>
      <c r="AJ16" s="113"/>
      <c r="AK16" s="60">
        <f>AK15</f>
        <v>70000</v>
      </c>
    </row>
    <row r="17" spans="1:37" s="3" customFormat="1" ht="19" thickBot="1" x14ac:dyDescent="0.5">
      <c r="A17" s="49"/>
      <c r="B17" s="79"/>
      <c r="C17" s="28"/>
      <c r="D17" s="8"/>
      <c r="E17" s="9"/>
      <c r="F17" s="18"/>
      <c r="G17" s="18"/>
      <c r="H17" s="19"/>
      <c r="I17" s="20" t="s">
        <v>65</v>
      </c>
      <c r="J17" s="21"/>
      <c r="K17" s="21">
        <v>4500</v>
      </c>
      <c r="L17" s="22"/>
      <c r="M17" s="23"/>
      <c r="N17" s="24"/>
      <c r="O17" s="21"/>
      <c r="P17" s="21">
        <f t="shared" si="0"/>
        <v>4500</v>
      </c>
      <c r="Q17" s="38"/>
      <c r="R17" s="38"/>
      <c r="S17" s="21"/>
      <c r="T17" s="21">
        <f t="shared" si="1"/>
        <v>4500</v>
      </c>
      <c r="V17" s="58" t="s">
        <v>51</v>
      </c>
      <c r="W17" s="56"/>
      <c r="X17" s="56"/>
      <c r="Y17" s="63">
        <f>SUM(Y10:Y16)</f>
        <v>15500</v>
      </c>
      <c r="AH17" s="55" t="s">
        <v>52</v>
      </c>
      <c r="AI17" s="113"/>
      <c r="AJ17" s="113"/>
      <c r="AK17" s="61">
        <f>AK13+AK16</f>
        <v>266500</v>
      </c>
    </row>
    <row r="18" spans="1:37" s="3" customFormat="1" ht="19.5" customHeight="1" thickBot="1" x14ac:dyDescent="0.5">
      <c r="A18" s="6" t="s">
        <v>16</v>
      </c>
      <c r="B18" s="78" t="s">
        <v>85</v>
      </c>
      <c r="C18" s="7" t="str">
        <f>A18</f>
        <v>(e)</v>
      </c>
      <c r="D18" s="8" t="str">
        <f>I28</f>
        <v>Bad Debt Expense</v>
      </c>
      <c r="E18" s="9"/>
      <c r="F18" s="18">
        <v>2100</v>
      </c>
      <c r="G18" s="18"/>
      <c r="H18" s="19"/>
      <c r="I18" s="20" t="s">
        <v>19</v>
      </c>
      <c r="J18" s="21"/>
      <c r="K18" s="21">
        <v>50000</v>
      </c>
      <c r="L18" s="22"/>
      <c r="M18" s="23"/>
      <c r="N18" s="24"/>
      <c r="O18" s="21"/>
      <c r="P18" s="21">
        <f t="shared" si="0"/>
        <v>50000</v>
      </c>
      <c r="Q18" s="38"/>
      <c r="R18" s="38"/>
      <c r="S18" s="21"/>
      <c r="T18" s="21">
        <f t="shared" si="1"/>
        <v>50000</v>
      </c>
      <c r="V18" s="58"/>
      <c r="W18" s="77" t="s">
        <v>28</v>
      </c>
      <c r="X18" s="56"/>
      <c r="Y18" s="60">
        <f>-R29</f>
        <v>-1300</v>
      </c>
      <c r="AH18" s="58"/>
      <c r="AI18" s="113"/>
      <c r="AJ18" s="113"/>
      <c r="AK18" s="57"/>
    </row>
    <row r="19" spans="1:37" s="3" customFormat="1" ht="19" thickBot="1" x14ac:dyDescent="0.5">
      <c r="A19" s="29"/>
      <c r="B19" s="79"/>
      <c r="C19" s="7"/>
      <c r="D19" s="8"/>
      <c r="E19" s="9" t="s">
        <v>76</v>
      </c>
      <c r="F19" s="18"/>
      <c r="G19" s="18">
        <f>F18</f>
        <v>2100</v>
      </c>
      <c r="H19" s="19"/>
      <c r="I19" s="20" t="s">
        <v>61</v>
      </c>
      <c r="J19" s="21"/>
      <c r="K19" s="21">
        <v>120000</v>
      </c>
      <c r="L19" s="22"/>
      <c r="M19" s="23"/>
      <c r="N19" s="24"/>
      <c r="O19" s="21"/>
      <c r="P19" s="21">
        <f t="shared" si="0"/>
        <v>120000</v>
      </c>
      <c r="Q19" s="38"/>
      <c r="R19" s="38"/>
      <c r="S19" s="21"/>
      <c r="T19" s="21">
        <f t="shared" si="1"/>
        <v>120000</v>
      </c>
      <c r="V19" s="55" t="s">
        <v>44</v>
      </c>
      <c r="W19" s="56"/>
      <c r="X19" s="56"/>
      <c r="Y19" s="61">
        <f>SUM(Y17:Y18)</f>
        <v>14200</v>
      </c>
      <c r="AH19" s="55" t="s">
        <v>53</v>
      </c>
      <c r="AI19" s="113"/>
      <c r="AJ19" s="113"/>
      <c r="AK19" s="57"/>
    </row>
    <row r="20" spans="1:37" s="3" customFormat="1" ht="19" thickBot="1" x14ac:dyDescent="0.5">
      <c r="A20" s="17"/>
      <c r="B20" s="80"/>
      <c r="C20" s="7"/>
      <c r="D20" s="25"/>
      <c r="E20" s="26"/>
      <c r="F20" s="18"/>
      <c r="G20" s="18"/>
      <c r="H20" s="19"/>
      <c r="I20" s="20" t="s">
        <v>79</v>
      </c>
      <c r="J20" s="21"/>
      <c r="K20" s="21">
        <v>31000</v>
      </c>
      <c r="L20" s="22"/>
      <c r="M20" s="23"/>
      <c r="N20" s="24"/>
      <c r="O20" s="21"/>
      <c r="P20" s="21">
        <f t="shared" si="0"/>
        <v>31000</v>
      </c>
      <c r="Q20" s="39">
        <f>F37</f>
        <v>4500</v>
      </c>
      <c r="R20" s="39">
        <f>G35</f>
        <v>14200</v>
      </c>
      <c r="S20" s="21"/>
      <c r="T20" s="21">
        <f t="shared" si="1"/>
        <v>40700</v>
      </c>
      <c r="V20" s="66"/>
      <c r="W20" s="67"/>
      <c r="X20" s="67"/>
      <c r="Y20" s="59"/>
      <c r="AH20" s="58" t="s">
        <v>54</v>
      </c>
      <c r="AI20" s="113"/>
      <c r="AJ20" s="113"/>
      <c r="AK20" s="57"/>
    </row>
    <row r="21" spans="1:37" s="3" customFormat="1" ht="19" thickBot="1" x14ac:dyDescent="0.5">
      <c r="A21" s="6" t="s">
        <v>20</v>
      </c>
      <c r="B21" s="78" t="s">
        <v>86</v>
      </c>
      <c r="C21" s="7" t="str">
        <f>A21</f>
        <v>(f)</v>
      </c>
      <c r="D21" s="25" t="str">
        <f>I29</f>
        <v>Income Tax Expense</v>
      </c>
      <c r="E21" s="26"/>
      <c r="F21" s="18">
        <v>1300</v>
      </c>
      <c r="G21" s="18"/>
      <c r="H21" s="19"/>
      <c r="I21" s="20" t="s">
        <v>77</v>
      </c>
      <c r="J21" s="21">
        <v>4500</v>
      </c>
      <c r="K21" s="21"/>
      <c r="L21" s="22"/>
      <c r="M21" s="23"/>
      <c r="N21" s="24"/>
      <c r="O21" s="13">
        <f t="shared" ref="O21:O29" si="3">J21+M21-N21</f>
        <v>4500</v>
      </c>
      <c r="P21" s="21"/>
      <c r="Q21" s="39"/>
      <c r="R21" s="39">
        <f>G38</f>
        <v>4500</v>
      </c>
      <c r="S21" s="13">
        <f>O21+Q21-R21</f>
        <v>0</v>
      </c>
      <c r="T21" s="21"/>
      <c r="AH21" s="58"/>
      <c r="AI21" s="113" t="s">
        <v>55</v>
      </c>
      <c r="AJ21" s="113"/>
      <c r="AK21" s="60">
        <f>P14</f>
        <v>44000</v>
      </c>
    </row>
    <row r="22" spans="1:37" s="3" customFormat="1" ht="19" thickBot="1" x14ac:dyDescent="0.5">
      <c r="A22" s="17"/>
      <c r="B22" s="80"/>
      <c r="C22" s="40"/>
      <c r="D22" s="8"/>
      <c r="E22" s="9" t="str">
        <f>I15</f>
        <v>Income Tax Payable</v>
      </c>
      <c r="F22" s="18"/>
      <c r="G22" s="18">
        <f>F21</f>
        <v>1300</v>
      </c>
      <c r="H22" s="19"/>
      <c r="I22" s="20" t="s">
        <v>21</v>
      </c>
      <c r="J22" s="21"/>
      <c r="K22" s="21">
        <v>65000</v>
      </c>
      <c r="L22" s="22" t="str">
        <f>C7</f>
        <v>(a)</v>
      </c>
      <c r="M22" s="23"/>
      <c r="N22" s="24">
        <f>G8</f>
        <v>15000</v>
      </c>
      <c r="O22" s="21"/>
      <c r="P22" s="21">
        <f t="shared" si="0"/>
        <v>80000</v>
      </c>
      <c r="Q22" s="39">
        <f>F27</f>
        <v>80000</v>
      </c>
      <c r="R22" s="39"/>
      <c r="S22" s="21"/>
      <c r="T22" s="21">
        <f>P22+R22-Q22</f>
        <v>0</v>
      </c>
      <c r="AH22" s="58"/>
      <c r="AI22" s="113" t="s">
        <v>17</v>
      </c>
      <c r="AJ22" s="113"/>
      <c r="AK22" s="60">
        <f>P15</f>
        <v>2800</v>
      </c>
    </row>
    <row r="23" spans="1:37" s="3" customFormat="1" ht="19" thickBot="1" x14ac:dyDescent="0.5">
      <c r="F23" s="4"/>
      <c r="G23" s="4"/>
      <c r="H23" s="19"/>
      <c r="I23" s="20" t="s">
        <v>78</v>
      </c>
      <c r="J23" s="21">
        <v>15000</v>
      </c>
      <c r="K23" s="21"/>
      <c r="L23" s="22" t="str">
        <f>C10</f>
        <v>(b)</v>
      </c>
      <c r="M23" s="23">
        <f>F10</f>
        <v>3400</v>
      </c>
      <c r="N23" s="24"/>
      <c r="O23" s="13">
        <f t="shared" si="3"/>
        <v>18400</v>
      </c>
      <c r="P23" s="21"/>
      <c r="Q23" s="39"/>
      <c r="R23" s="39">
        <f t="shared" ref="R23:R29" si="4">G28</f>
        <v>18400</v>
      </c>
      <c r="S23" s="13">
        <f t="shared" ref="S23:S29" si="5">O23+Q23-R23</f>
        <v>0</v>
      </c>
      <c r="T23" s="21"/>
      <c r="AH23" s="58"/>
      <c r="AI23" s="113" t="s">
        <v>18</v>
      </c>
      <c r="AJ23" s="113"/>
      <c r="AK23" s="60">
        <f>P16</f>
        <v>4500</v>
      </c>
    </row>
    <row r="24" spans="1:37" s="3" customFormat="1" ht="18.649999999999999" customHeight="1" thickBot="1" x14ac:dyDescent="0.5">
      <c r="F24" s="4"/>
      <c r="G24" s="4"/>
      <c r="H24" s="19"/>
      <c r="I24" s="20" t="s">
        <v>23</v>
      </c>
      <c r="J24" s="21">
        <v>20000</v>
      </c>
      <c r="K24" s="21"/>
      <c r="L24" s="22"/>
      <c r="M24" s="23"/>
      <c r="N24" s="24"/>
      <c r="O24" s="13">
        <f t="shared" si="3"/>
        <v>20000</v>
      </c>
      <c r="P24" s="21"/>
      <c r="Q24" s="39"/>
      <c r="R24" s="39">
        <f t="shared" si="4"/>
        <v>20000</v>
      </c>
      <c r="S24" s="13">
        <f t="shared" si="5"/>
        <v>0</v>
      </c>
      <c r="T24" s="21"/>
      <c r="AH24" s="58"/>
      <c r="AI24" s="113" t="s">
        <v>65</v>
      </c>
      <c r="AJ24" s="113"/>
      <c r="AK24" s="63">
        <f>P17</f>
        <v>4500</v>
      </c>
    </row>
    <row r="25" spans="1:37" s="3" customFormat="1" ht="19" thickBot="1" x14ac:dyDescent="0.5">
      <c r="C25" s="115" t="s">
        <v>66</v>
      </c>
      <c r="D25" s="116"/>
      <c r="E25" s="116"/>
      <c r="F25" s="116"/>
      <c r="G25" s="117"/>
      <c r="H25" s="19"/>
      <c r="I25" s="20" t="s">
        <v>24</v>
      </c>
      <c r="J25" s="21">
        <v>7000</v>
      </c>
      <c r="K25" s="21"/>
      <c r="L25" s="22"/>
      <c r="M25" s="23"/>
      <c r="N25" s="24"/>
      <c r="O25" s="13">
        <f t="shared" si="3"/>
        <v>7000</v>
      </c>
      <c r="P25" s="21"/>
      <c r="Q25" s="39"/>
      <c r="R25" s="39">
        <f t="shared" si="4"/>
        <v>7000</v>
      </c>
      <c r="S25" s="13">
        <f t="shared" si="5"/>
        <v>0</v>
      </c>
      <c r="T25" s="21"/>
      <c r="AH25" s="58"/>
      <c r="AI25" s="113" t="s">
        <v>56</v>
      </c>
      <c r="AJ25" s="113"/>
      <c r="AK25" s="62">
        <f>SUM(AK21:AK24)</f>
        <v>55800</v>
      </c>
    </row>
    <row r="26" spans="1:37" s="3" customFormat="1" ht="19" thickBot="1" x14ac:dyDescent="0.5">
      <c r="A26" s="81"/>
      <c r="B26" s="82"/>
      <c r="C26" s="41" t="s">
        <v>2</v>
      </c>
      <c r="D26" s="83" t="s">
        <v>3</v>
      </c>
      <c r="E26" s="83"/>
      <c r="F26" s="42" t="s">
        <v>4</v>
      </c>
      <c r="G26" s="42" t="s">
        <v>5</v>
      </c>
      <c r="H26" s="19"/>
      <c r="I26" s="20" t="s">
        <v>25</v>
      </c>
      <c r="J26" s="21">
        <v>0</v>
      </c>
      <c r="K26" s="21"/>
      <c r="L26" s="22" t="str">
        <f>C12</f>
        <v xml:space="preserve">(c)  </v>
      </c>
      <c r="M26" s="23">
        <f>F12</f>
        <v>7000</v>
      </c>
      <c r="N26" s="24"/>
      <c r="O26" s="13">
        <f t="shared" si="3"/>
        <v>7000</v>
      </c>
      <c r="P26" s="21"/>
      <c r="Q26" s="39"/>
      <c r="R26" s="39">
        <f t="shared" si="4"/>
        <v>7000</v>
      </c>
      <c r="S26" s="13">
        <f t="shared" si="5"/>
        <v>0</v>
      </c>
      <c r="T26" s="21"/>
      <c r="AH26" s="58" t="s">
        <v>57</v>
      </c>
      <c r="AI26" s="113"/>
      <c r="AJ26" s="113"/>
      <c r="AK26" s="60"/>
    </row>
    <row r="27" spans="1:37" s="3" customFormat="1" ht="19" thickBot="1" x14ac:dyDescent="0.5">
      <c r="A27" s="84" t="s">
        <v>70</v>
      </c>
      <c r="B27" s="78"/>
      <c r="C27" s="46">
        <v>44561</v>
      </c>
      <c r="D27" s="8" t="str">
        <f>I22</f>
        <v>Sales Revenue</v>
      </c>
      <c r="E27" s="9"/>
      <c r="F27" s="10">
        <f>P22</f>
        <v>80000</v>
      </c>
      <c r="G27" s="10"/>
      <c r="H27" s="19"/>
      <c r="I27" s="20" t="s">
        <v>26</v>
      </c>
      <c r="J27" s="21">
        <v>0</v>
      </c>
      <c r="K27" s="21"/>
      <c r="L27" s="22" t="str">
        <f>C15</f>
        <v>(d)</v>
      </c>
      <c r="M27" s="23">
        <f>F15</f>
        <v>10000</v>
      </c>
      <c r="N27" s="24"/>
      <c r="O27" s="13">
        <f t="shared" si="3"/>
        <v>10000</v>
      </c>
      <c r="P27" s="21"/>
      <c r="Q27" s="39"/>
      <c r="R27" s="39">
        <f t="shared" si="4"/>
        <v>10000</v>
      </c>
      <c r="S27" s="13">
        <f t="shared" si="5"/>
        <v>0</v>
      </c>
      <c r="T27" s="21"/>
      <c r="Z27" s="30"/>
      <c r="AA27" s="30"/>
      <c r="AB27" s="30"/>
      <c r="AC27" s="30"/>
      <c r="AD27" s="30"/>
      <c r="AE27" s="30"/>
      <c r="AF27" s="30"/>
      <c r="AG27" s="30"/>
      <c r="AH27" s="58"/>
      <c r="AI27" s="113" t="s">
        <v>19</v>
      </c>
      <c r="AJ27" s="113"/>
      <c r="AK27" s="63">
        <f>P18</f>
        <v>50000</v>
      </c>
    </row>
    <row r="28" spans="1:37" s="3" customFormat="1" ht="19" thickBot="1" x14ac:dyDescent="0.5">
      <c r="A28" s="85"/>
      <c r="B28" s="79"/>
      <c r="C28" s="7"/>
      <c r="D28" s="8"/>
      <c r="E28" s="9" t="str">
        <f>I23</f>
        <v>Cost of Goods Sold</v>
      </c>
      <c r="F28" s="18"/>
      <c r="G28" s="18">
        <f>O23</f>
        <v>18400</v>
      </c>
      <c r="H28" s="19"/>
      <c r="I28" s="20" t="s">
        <v>27</v>
      </c>
      <c r="J28" s="21">
        <v>0</v>
      </c>
      <c r="K28" s="21"/>
      <c r="L28" s="22" t="str">
        <f>C18</f>
        <v>(e)</v>
      </c>
      <c r="M28" s="23">
        <f>F18</f>
        <v>2100</v>
      </c>
      <c r="N28" s="24"/>
      <c r="O28" s="13">
        <f t="shared" si="3"/>
        <v>2100</v>
      </c>
      <c r="P28" s="21"/>
      <c r="Q28" s="39"/>
      <c r="R28" s="39">
        <f t="shared" si="4"/>
        <v>2100</v>
      </c>
      <c r="S28" s="13">
        <f t="shared" si="5"/>
        <v>0</v>
      </c>
      <c r="T28" s="21"/>
      <c r="AH28" s="58"/>
      <c r="AI28" s="113" t="s">
        <v>58</v>
      </c>
      <c r="AJ28" s="113"/>
      <c r="AK28" s="63">
        <f>AK27</f>
        <v>50000</v>
      </c>
    </row>
    <row r="29" spans="1:37" s="30" customFormat="1" ht="19" thickBot="1" x14ac:dyDescent="0.5">
      <c r="A29" s="85"/>
      <c r="B29" s="79"/>
      <c r="C29" s="7"/>
      <c r="D29" s="8"/>
      <c r="E29" s="9" t="str">
        <f t="shared" ref="E29:E34" si="6">I24</f>
        <v>Salaries Expense</v>
      </c>
      <c r="F29" s="18"/>
      <c r="G29" s="18">
        <f t="shared" ref="G29:G34" si="7">O24</f>
        <v>20000</v>
      </c>
      <c r="H29" s="19"/>
      <c r="I29" s="20" t="s">
        <v>28</v>
      </c>
      <c r="J29" s="21">
        <v>0</v>
      </c>
      <c r="K29" s="21"/>
      <c r="L29" s="22" t="str">
        <f>C21</f>
        <v>(f)</v>
      </c>
      <c r="M29" s="23">
        <f>F21</f>
        <v>1300</v>
      </c>
      <c r="N29" s="24"/>
      <c r="O29" s="13">
        <f t="shared" si="3"/>
        <v>1300</v>
      </c>
      <c r="P29" s="21"/>
      <c r="Q29" s="39"/>
      <c r="R29" s="39">
        <f t="shared" si="4"/>
        <v>1300</v>
      </c>
      <c r="S29" s="13">
        <f t="shared" si="5"/>
        <v>0</v>
      </c>
      <c r="T29" s="21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55"/>
      <c r="AI29" s="114" t="s">
        <v>59</v>
      </c>
      <c r="AJ29" s="114"/>
      <c r="AK29" s="64">
        <f>AK25+AK28</f>
        <v>105800</v>
      </c>
    </row>
    <row r="30" spans="1:37" s="3" customFormat="1" ht="19" thickBot="1" x14ac:dyDescent="0.5">
      <c r="A30" s="85"/>
      <c r="B30" s="79"/>
      <c r="C30" s="7"/>
      <c r="D30" s="25"/>
      <c r="E30" s="9" t="str">
        <f t="shared" si="6"/>
        <v>General Admin Expense</v>
      </c>
      <c r="F30" s="18"/>
      <c r="G30" s="18">
        <f t="shared" si="7"/>
        <v>7000</v>
      </c>
      <c r="I30" s="20" t="s">
        <v>29</v>
      </c>
      <c r="J30" s="21">
        <f>SUM(J7:J29)</f>
        <v>355500</v>
      </c>
      <c r="K30" s="21">
        <f>SUM(K7:K29)</f>
        <v>355500</v>
      </c>
      <c r="L30" s="22"/>
      <c r="M30" s="23">
        <f t="shared" ref="M30:T30" si="8">SUM(M7:M29)</f>
        <v>38800</v>
      </c>
      <c r="N30" s="23">
        <f t="shared" si="8"/>
        <v>38800</v>
      </c>
      <c r="O30" s="21">
        <f t="shared" si="8"/>
        <v>368900</v>
      </c>
      <c r="P30" s="21">
        <f t="shared" si="8"/>
        <v>368900</v>
      </c>
      <c r="Q30" s="21">
        <f t="shared" si="8"/>
        <v>84500</v>
      </c>
      <c r="R30" s="21">
        <f t="shared" si="8"/>
        <v>84500</v>
      </c>
      <c r="S30" s="21">
        <f t="shared" si="8"/>
        <v>298600</v>
      </c>
      <c r="T30" s="21">
        <f t="shared" si="8"/>
        <v>298600</v>
      </c>
      <c r="AH30" s="55" t="s">
        <v>60</v>
      </c>
      <c r="AI30" s="113"/>
      <c r="AJ30" s="113"/>
      <c r="AK30" s="57"/>
    </row>
    <row r="31" spans="1:37" s="3" customFormat="1" ht="19.5" customHeight="1" x14ac:dyDescent="0.45">
      <c r="A31" s="85"/>
      <c r="B31" s="79"/>
      <c r="C31" s="7"/>
      <c r="D31" s="8"/>
      <c r="E31" s="9" t="str">
        <f t="shared" si="6"/>
        <v>Rent Expense</v>
      </c>
      <c r="F31" s="18"/>
      <c r="G31" s="18">
        <f t="shared" si="7"/>
        <v>7000</v>
      </c>
      <c r="I31" s="31"/>
      <c r="L31" s="32"/>
      <c r="M31" s="32"/>
      <c r="N31" s="32"/>
      <c r="O31" s="1"/>
      <c r="P31" s="1"/>
      <c r="Q31" s="1"/>
      <c r="R31" s="1"/>
      <c r="S31" s="1"/>
      <c r="T31" s="1"/>
      <c r="AH31" s="58"/>
      <c r="AI31" s="113" t="s">
        <v>61</v>
      </c>
      <c r="AJ31" s="113"/>
      <c r="AK31" s="60">
        <f>AB13</f>
        <v>120000</v>
      </c>
    </row>
    <row r="32" spans="1:37" s="3" customFormat="1" ht="18.5" x14ac:dyDescent="0.45">
      <c r="A32" s="85"/>
      <c r="B32" s="79"/>
      <c r="C32" s="7"/>
      <c r="D32" s="8"/>
      <c r="E32" s="9" t="str">
        <f t="shared" si="6"/>
        <v>Depreciation Expense</v>
      </c>
      <c r="F32" s="18"/>
      <c r="G32" s="18">
        <f t="shared" si="7"/>
        <v>10000</v>
      </c>
      <c r="I32" s="31"/>
      <c r="J32" s="33"/>
      <c r="L32" s="32"/>
      <c r="M32" s="34"/>
      <c r="N32" s="32"/>
      <c r="O32" s="1"/>
      <c r="P32" s="1"/>
      <c r="Q32" s="1"/>
      <c r="R32" s="1"/>
      <c r="S32" s="1"/>
      <c r="T32" s="1"/>
      <c r="AH32" s="58"/>
      <c r="AI32" s="113" t="s">
        <v>62</v>
      </c>
      <c r="AJ32" s="113"/>
      <c r="AK32" s="63">
        <f>AD13</f>
        <v>40700</v>
      </c>
    </row>
    <row r="33" spans="1:37" ht="18.5" x14ac:dyDescent="0.45">
      <c r="A33" s="85"/>
      <c r="B33" s="79"/>
      <c r="C33" s="7"/>
      <c r="D33" s="8"/>
      <c r="E33" s="9" t="str">
        <f t="shared" si="6"/>
        <v>Bad Debt Expense</v>
      </c>
      <c r="F33" s="18"/>
      <c r="G33" s="18">
        <f t="shared" si="7"/>
        <v>2100</v>
      </c>
      <c r="I33" s="31"/>
      <c r="J33" s="3"/>
      <c r="K33" s="3"/>
      <c r="L33" s="32"/>
      <c r="M33" s="32"/>
      <c r="N33" s="32"/>
      <c r="O33" s="3"/>
      <c r="P33" s="3"/>
      <c r="Q33" s="3"/>
      <c r="R33" s="3"/>
      <c r="S33" s="3"/>
      <c r="T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58"/>
      <c r="AI33" s="114" t="s">
        <v>63</v>
      </c>
      <c r="AJ33" s="113"/>
      <c r="AK33" s="65">
        <f>SUM(AK31:AK32)</f>
        <v>160700</v>
      </c>
    </row>
    <row r="34" spans="1:37" ht="19" thickBot="1" x14ac:dyDescent="0.5">
      <c r="A34" s="85"/>
      <c r="B34" s="79"/>
      <c r="C34" s="28"/>
      <c r="D34" s="8"/>
      <c r="E34" s="9" t="str">
        <f t="shared" si="6"/>
        <v>Income Tax Expense</v>
      </c>
      <c r="F34" s="18"/>
      <c r="G34" s="18">
        <f t="shared" si="7"/>
        <v>1300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55" t="s">
        <v>64</v>
      </c>
      <c r="AI34" s="113"/>
      <c r="AJ34" s="113"/>
      <c r="AK34" s="61">
        <f>AK29+AK33</f>
        <v>266500</v>
      </c>
    </row>
    <row r="35" spans="1:37" ht="19" thickTop="1" x14ac:dyDescent="0.45">
      <c r="A35" s="85"/>
      <c r="B35" s="79"/>
      <c r="C35" s="7"/>
      <c r="D35" s="8"/>
      <c r="E35" s="9" t="str">
        <f>I20</f>
        <v>Retained Eearnings</v>
      </c>
      <c r="F35" s="18"/>
      <c r="G35" s="18">
        <f>F27-SUM(G28:G34)</f>
        <v>14200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66"/>
      <c r="AI35" s="67"/>
      <c r="AJ35" s="67"/>
      <c r="AK35" s="59"/>
    </row>
    <row r="36" spans="1:37" ht="18.5" x14ac:dyDescent="0.45">
      <c r="A36" s="85"/>
      <c r="B36" s="79"/>
      <c r="C36" s="7"/>
      <c r="D36" s="8"/>
      <c r="E36" s="9"/>
      <c r="F36" s="18"/>
      <c r="G36" s="18"/>
      <c r="V36"/>
      <c r="W36"/>
      <c r="X36"/>
      <c r="Y36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8.5" x14ac:dyDescent="0.45">
      <c r="A37" s="6" t="s">
        <v>69</v>
      </c>
      <c r="B37" s="43"/>
      <c r="C37" s="46">
        <f>C27</f>
        <v>44561</v>
      </c>
      <c r="D37" s="8" t="str">
        <f>I20</f>
        <v>Retained Eearnings</v>
      </c>
      <c r="E37" s="9"/>
      <c r="F37" s="18">
        <f>O21</f>
        <v>4500</v>
      </c>
      <c r="G37" s="18"/>
    </row>
    <row r="38" spans="1:37" ht="18.5" x14ac:dyDescent="0.45">
      <c r="A38" s="29"/>
      <c r="B38" s="45"/>
      <c r="C38" s="7"/>
      <c r="D38" s="8"/>
      <c r="E38" s="9" t="str">
        <f>I21</f>
        <v>Dividends</v>
      </c>
      <c r="F38" s="18"/>
      <c r="G38" s="18">
        <f>F37</f>
        <v>4500</v>
      </c>
    </row>
    <row r="39" spans="1:37" ht="18.5" x14ac:dyDescent="0.45">
      <c r="A39" s="17"/>
      <c r="B39" s="44"/>
      <c r="C39" s="7"/>
      <c r="D39" s="25"/>
      <c r="E39" s="26"/>
      <c r="F39" s="18"/>
      <c r="G39" s="18"/>
    </row>
    <row r="40" spans="1:37" s="104" customFormat="1" ht="15.5" x14ac:dyDescent="0.35">
      <c r="C40" s="111" t="s">
        <v>89</v>
      </c>
      <c r="F40" s="105"/>
      <c r="G40" s="105"/>
      <c r="I40" s="106"/>
      <c r="L40" s="107"/>
      <c r="M40" s="107"/>
      <c r="N40" s="107"/>
    </row>
    <row r="41" spans="1:37" s="104" customFormat="1" ht="15.5" x14ac:dyDescent="0.35">
      <c r="C41" s="109">
        <v>46022</v>
      </c>
      <c r="D41" s="108" t="s">
        <v>21</v>
      </c>
      <c r="E41" s="108"/>
      <c r="F41" s="110">
        <v>80000</v>
      </c>
      <c r="G41" s="110"/>
      <c r="I41" s="106"/>
      <c r="L41" s="107"/>
      <c r="M41" s="107"/>
      <c r="N41" s="107"/>
    </row>
    <row r="42" spans="1:37" s="104" customFormat="1" ht="15.5" x14ac:dyDescent="0.35">
      <c r="C42" s="108"/>
      <c r="D42" s="108"/>
      <c r="E42" s="108" t="s">
        <v>78</v>
      </c>
      <c r="F42" s="110"/>
      <c r="G42" s="110">
        <v>18400</v>
      </c>
      <c r="I42" s="106"/>
      <c r="L42" s="107"/>
      <c r="M42" s="107"/>
      <c r="N42" s="107"/>
    </row>
    <row r="43" spans="1:37" s="104" customFormat="1" ht="15.5" x14ac:dyDescent="0.35">
      <c r="C43" s="108"/>
      <c r="D43" s="108"/>
      <c r="E43" s="108" t="s">
        <v>23</v>
      </c>
      <c r="F43" s="110"/>
      <c r="G43" s="110">
        <v>20000</v>
      </c>
      <c r="I43" s="106"/>
      <c r="L43" s="107"/>
      <c r="M43" s="107"/>
      <c r="N43" s="107"/>
    </row>
    <row r="44" spans="1:37" s="104" customFormat="1" ht="15.5" x14ac:dyDescent="0.35">
      <c r="C44" s="108"/>
      <c r="D44" s="108"/>
      <c r="E44" s="108" t="s">
        <v>24</v>
      </c>
      <c r="F44" s="110"/>
      <c r="G44" s="110">
        <v>7000</v>
      </c>
      <c r="I44" s="106"/>
      <c r="L44" s="107"/>
      <c r="M44" s="107"/>
      <c r="N44" s="107"/>
    </row>
    <row r="45" spans="1:37" s="104" customFormat="1" ht="15.5" x14ac:dyDescent="0.35">
      <c r="C45" s="108"/>
      <c r="D45" s="108"/>
      <c r="E45" s="108" t="s">
        <v>25</v>
      </c>
      <c r="F45" s="110"/>
      <c r="G45" s="110">
        <v>7000</v>
      </c>
      <c r="I45" s="106"/>
      <c r="L45" s="107"/>
      <c r="M45" s="107"/>
      <c r="N45" s="107"/>
    </row>
    <row r="46" spans="1:37" s="104" customFormat="1" ht="15.5" x14ac:dyDescent="0.35">
      <c r="C46" s="108"/>
      <c r="D46" s="108"/>
      <c r="E46" s="108" t="s">
        <v>26</v>
      </c>
      <c r="F46" s="110"/>
      <c r="G46" s="110">
        <v>10000</v>
      </c>
      <c r="I46" s="106"/>
      <c r="L46" s="107"/>
      <c r="M46" s="107"/>
      <c r="N46" s="107"/>
    </row>
    <row r="47" spans="1:37" s="104" customFormat="1" ht="15.5" x14ac:dyDescent="0.35">
      <c r="C47" s="108"/>
      <c r="D47" s="108"/>
      <c r="E47" s="108" t="s">
        <v>27</v>
      </c>
      <c r="F47" s="110"/>
      <c r="G47" s="110">
        <v>2100</v>
      </c>
      <c r="I47" s="106"/>
      <c r="L47" s="107"/>
      <c r="M47" s="107"/>
      <c r="N47" s="107"/>
    </row>
    <row r="48" spans="1:37" s="104" customFormat="1" ht="15.5" x14ac:dyDescent="0.35">
      <c r="C48" s="108"/>
      <c r="D48" s="108"/>
      <c r="E48" s="108" t="s">
        <v>28</v>
      </c>
      <c r="F48" s="110"/>
      <c r="G48" s="110">
        <v>1300</v>
      </c>
      <c r="I48" s="106"/>
      <c r="L48" s="107"/>
      <c r="M48" s="107"/>
      <c r="N48" s="107"/>
    </row>
    <row r="49" spans="3:14" s="104" customFormat="1" ht="15.5" x14ac:dyDescent="0.35">
      <c r="C49" s="108"/>
      <c r="D49" s="108"/>
      <c r="E49" s="108" t="s">
        <v>77</v>
      </c>
      <c r="F49" s="108"/>
      <c r="G49" s="110">
        <v>4500</v>
      </c>
      <c r="I49" s="106"/>
      <c r="L49" s="107"/>
      <c r="M49" s="107"/>
      <c r="N49" s="107"/>
    </row>
    <row r="50" spans="3:14" s="104" customFormat="1" ht="15.5" x14ac:dyDescent="0.35">
      <c r="C50" s="108"/>
      <c r="D50" s="108"/>
      <c r="E50" s="108" t="s">
        <v>79</v>
      </c>
      <c r="F50" s="110"/>
      <c r="G50" s="110">
        <f>14200-4500</f>
        <v>9700</v>
      </c>
      <c r="I50" s="106"/>
      <c r="L50" s="107"/>
      <c r="M50" s="107"/>
      <c r="N50" s="107"/>
    </row>
    <row r="51" spans="3:14" s="104" customFormat="1" ht="15.5" x14ac:dyDescent="0.35">
      <c r="F51" s="105"/>
      <c r="G51" s="105"/>
      <c r="I51" s="106"/>
      <c r="L51" s="107"/>
      <c r="M51" s="107"/>
      <c r="N51" s="107"/>
    </row>
    <row r="52" spans="3:14" s="104" customFormat="1" ht="15.5" x14ac:dyDescent="0.35">
      <c r="F52" s="105"/>
      <c r="G52" s="105"/>
      <c r="I52" s="106"/>
      <c r="L52" s="107"/>
      <c r="M52" s="107"/>
      <c r="N52" s="107"/>
    </row>
  </sheetData>
  <mergeCells count="30">
    <mergeCell ref="V2:AK2"/>
    <mergeCell ref="I2:T2"/>
    <mergeCell ref="V6:Y6"/>
    <mergeCell ref="AA6:AF6"/>
    <mergeCell ref="AH6:AK6"/>
    <mergeCell ref="V4:Y4"/>
    <mergeCell ref="AA4:AF4"/>
    <mergeCell ref="AH4:AK4"/>
    <mergeCell ref="V5:Y5"/>
    <mergeCell ref="AA5:AF5"/>
    <mergeCell ref="AH5:AK5"/>
    <mergeCell ref="J5:K5"/>
    <mergeCell ref="L5:N5"/>
    <mergeCell ref="O5:P5"/>
    <mergeCell ref="Q5:R5"/>
    <mergeCell ref="S5:T5"/>
    <mergeCell ref="A27:B36"/>
    <mergeCell ref="C25:G25"/>
    <mergeCell ref="A26:B26"/>
    <mergeCell ref="D26:E26"/>
    <mergeCell ref="B21:B22"/>
    <mergeCell ref="B18:B20"/>
    <mergeCell ref="B10:B11"/>
    <mergeCell ref="C5:G5"/>
    <mergeCell ref="I5:I6"/>
    <mergeCell ref="B12:B14"/>
    <mergeCell ref="B7:B9"/>
    <mergeCell ref="B15:B17"/>
    <mergeCell ref="A6:B6"/>
    <mergeCell ref="D6:E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3cfe13-88a2-4d8a-921a-26acc93ffab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6FBF6E6E37447827B60E0C4C792C8" ma:contentTypeVersion="16" ma:contentTypeDescription="Create a new document." ma:contentTypeScope="" ma:versionID="49399891a53dd8585e919ee0466e9fe1">
  <xsd:schema xmlns:xsd="http://www.w3.org/2001/XMLSchema" xmlns:xs="http://www.w3.org/2001/XMLSchema" xmlns:p="http://schemas.microsoft.com/office/2006/metadata/properties" xmlns:ns3="a53cfe13-88a2-4d8a-921a-26acc93ffab7" xmlns:ns4="e3370fb0-917d-486d-8ec5-33c5248dbdec" targetNamespace="http://schemas.microsoft.com/office/2006/metadata/properties" ma:root="true" ma:fieldsID="c0be66e70180189e12c94556f96c2065" ns3:_="" ns4:_="">
    <xsd:import namespace="a53cfe13-88a2-4d8a-921a-26acc93ffab7"/>
    <xsd:import namespace="e3370fb0-917d-486d-8ec5-33c5248dbd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cfe13-88a2-4d8a-921a-26acc93ff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0fb0-917d-486d-8ec5-33c5248db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9CE45E-4DC4-437A-BBC4-7C691DFD598B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e3370fb0-917d-486d-8ec5-33c5248dbdec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53cfe13-88a2-4d8a-921a-26acc93ffab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7B40A2B-E5FA-4A58-9EB9-15DB549784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02FCC8-92C4-44F0-84DC-83091E39A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3cfe13-88a2-4d8a-921a-26acc93ffab7"/>
    <ds:schemaRef ds:uri="e3370fb0-917d-486d-8ec5-33c5248db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Saja &amp; Co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Kusnadi</dc:creator>
  <cp:lastModifiedBy>Hanny Kusnadi</cp:lastModifiedBy>
  <dcterms:created xsi:type="dcterms:W3CDTF">2021-01-29T16:33:35Z</dcterms:created>
  <dcterms:modified xsi:type="dcterms:W3CDTF">2025-09-03T03:07:54Z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0x0101001916FBF6E6E37447827B60E0C4C792C8</vt:lpwstr>
  </property>
</Properties>
</file>