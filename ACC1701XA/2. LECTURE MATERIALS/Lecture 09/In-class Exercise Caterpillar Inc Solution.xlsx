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zhann\OneDrive - National University of Singapore\TEACHING\AY2526 S1 ACC1701XA\Lecture 09 PPE\"/>
    </mc:Choice>
  </mc:AlternateContent>
  <xr:revisionPtr revIDLastSave="27" documentId="8_{CCBABFEA-4BA0-4DDE-AA0D-2254939CCAEF}" xr6:coauthVersionLast="36" xr6:coauthVersionMax="36" xr10:uidLastSave="{548CA882-901F-4389-ABC9-22B7BFCB1FD8}"/>
  <bookViews>
    <workbookView xWindow="0" yWindow="0" windowWidth="23040" windowHeight="8244" xr2:uid="{5AED7B71-280C-4EBE-BE26-B17F7C9FE98A}"/>
  </bookViews>
  <sheets>
    <sheet name="Caterpillar Solu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22" i="1"/>
  <c r="G21" i="1"/>
  <c r="G13" i="1"/>
  <c r="G14" i="1"/>
  <c r="E11" i="1" l="1"/>
  <c r="C10" i="1"/>
  <c r="C9" i="1"/>
  <c r="G5" i="1"/>
  <c r="G4" i="1"/>
  <c r="C11" i="1" l="1"/>
  <c r="G11" i="1" s="1"/>
  <c r="G15" i="1" s="1"/>
  <c r="G17" i="1" s="1"/>
  <c r="G24" i="1" s="1"/>
</calcChain>
</file>

<file path=xl/sharedStrings.xml><?xml version="1.0" encoding="utf-8"?>
<sst xmlns="http://schemas.openxmlformats.org/spreadsheetml/2006/main" count="22" uniqueCount="21">
  <si>
    <t>Original</t>
  </si>
  <si>
    <t>Capitalized Expense</t>
  </si>
  <si>
    <t>Revised</t>
  </si>
  <si>
    <t>Acquisition Cost</t>
  </si>
  <si>
    <t>Salvage Value</t>
  </si>
  <si>
    <t>Depreciation per mile</t>
  </si>
  <si>
    <t>Miles Usage</t>
  </si>
  <si>
    <t>Revised Remaining Estimated Life (in miles)</t>
  </si>
  <si>
    <t>Revised Depreciation per mile</t>
  </si>
  <si>
    <t>Disposal Value</t>
  </si>
  <si>
    <t xml:space="preserve">Net Gain/ (Loss) of disposal </t>
  </si>
  <si>
    <t>CATERPILLAR INC. - IN CLASS EXAMPLE (Units of Production Method)</t>
  </si>
  <si>
    <t xml:space="preserve">2023 Depreciation </t>
  </si>
  <si>
    <t xml:space="preserve">2024 Depreciaiton </t>
  </si>
  <si>
    <t>2025 Beginning NBV</t>
  </si>
  <si>
    <t>Estimated Life (in miles)</t>
  </si>
  <si>
    <t>Revised Depreciable value of asset (revised NBV less salvage value)</t>
  </si>
  <si>
    <t>Disposal of Asset at end of 2025:</t>
  </si>
  <si>
    <t>Accumulated Depreciation @ 31 Dec 2025</t>
  </si>
  <si>
    <t>NBV of asset @ 31 Dec 2025</t>
  </si>
  <si>
    <t>2025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</si>
</sst>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39" fontId="3" fillId="2" borderId="0" xfId="1" applyNumberFormat="1" applyFont="1" applyFill="1"/>
    <xf numFmtId="0" fontId="3" fillId="2" borderId="0" xfId="0" applyFont="1" applyFill="1"/>
    <xf numFmtId="0" fontId="6" fillId="2" borderId="0" xfId="0" applyFont="1" applyFill="1"/>
    <xf numFmtId="39" fontId="6" fillId="2" borderId="0" xfId="1" applyNumberFormat="1" applyFont="1" applyFill="1"/>
    <xf numFmtId="39" fontId="3" fillId="2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9" fontId="3" fillId="2" borderId="0" xfId="0" applyNumberFormat="1" applyFont="1" applyFill="1"/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 applyAlignment="1"/>
    <xf numFmtId="0" fontId="3" fillId="2" borderId="2" xfId="0" applyFont="1" applyFill="1" applyBorder="1"/>
    <xf numFmtId="39" fontId="3" fillId="2" borderId="2" xfId="1" applyNumberFormat="1" applyFont="1" applyFill="1" applyBorder="1"/>
    <xf numFmtId="39" fontId="3" fillId="2" borderId="2" xfId="0" applyNumberFormat="1" applyFont="1" applyFill="1" applyBorder="1"/>
    <xf numFmtId="0" fontId="3" fillId="2" borderId="0" xfId="0" applyFont="1" applyFill="1" applyBorder="1"/>
    <xf numFmtId="39" fontId="3" fillId="2" borderId="0" xfId="1" applyNumberFormat="1" applyFont="1" applyFill="1" applyBorder="1"/>
    <xf numFmtId="43" fontId="3" fillId="2" borderId="0" xfId="0" applyNumberFormat="1" applyFont="1" applyFill="1"/>
    <xf numFmtId="0" fontId="5" fillId="2" borderId="0" xfId="0" applyFont="1" applyFill="1"/>
    <xf numFmtId="0" fontId="3" fillId="2" borderId="1" xfId="0" applyFont="1" applyFill="1" applyBorder="1"/>
    <xf numFmtId="39" fontId="3" fillId="2" borderId="1" xfId="1" applyNumberFormat="1" applyFont="1" applyFill="1" applyBorder="1"/>
    <xf numFmtId="43" fontId="3" fillId="2" borderId="1" xfId="0" applyNumberFormat="1" applyFont="1" applyFill="1" applyBorder="1"/>
    <xf numFmtId="0" fontId="3" fillId="2" borderId="3" xfId="0" applyFont="1" applyFill="1" applyBorder="1"/>
    <xf numFmtId="39" fontId="3" fillId="2" borderId="3" xfId="1" applyNumberFormat="1" applyFont="1" applyFill="1" applyBorder="1"/>
    <xf numFmtId="43" fontId="3" fillId="2" borderId="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16CC-0501-4EF6-B65F-2774E02C0F65}">
  <dimension ref="A1:G25"/>
  <sheetViews>
    <sheetView tabSelected="1" zoomScaleNormal="100" workbookViewId="0">
      <selection activeCell="C13" sqref="C13"/>
    </sheetView>
  </sheetViews>
  <sheetFormatPr defaultColWidth="8.77734375" defaultRowHeight="15.6" x14ac:dyDescent="0.3"/>
  <cols>
    <col min="1" max="1" width="36.77734375" style="3" customWidth="1"/>
    <col min="2" max="2" width="14.88671875" style="3" customWidth="1"/>
    <col min="3" max="3" width="18.21875" style="2" customWidth="1"/>
    <col min="4" max="4" width="2.21875" style="2" customWidth="1"/>
    <col min="5" max="5" width="18.21875" style="2" customWidth="1"/>
    <col min="6" max="6" width="2.21875" style="3" customWidth="1"/>
    <col min="7" max="7" width="16.44140625" style="3" customWidth="1"/>
    <col min="8" max="16384" width="8.77734375" style="3"/>
  </cols>
  <sheetData>
    <row r="1" spans="1:7" ht="23.4" x14ac:dyDescent="0.45">
      <c r="A1" s="1" t="s">
        <v>11</v>
      </c>
      <c r="B1" s="1"/>
    </row>
    <row r="2" spans="1:7" s="4" customFormat="1" ht="13.8" x14ac:dyDescent="0.3">
      <c r="C2" s="5"/>
      <c r="D2" s="5"/>
      <c r="E2" s="5"/>
    </row>
    <row r="3" spans="1:7" x14ac:dyDescent="0.3">
      <c r="C3" s="6" t="s">
        <v>0</v>
      </c>
      <c r="D3" s="6"/>
      <c r="E3" s="6" t="s">
        <v>1</v>
      </c>
      <c r="F3" s="7"/>
      <c r="G3" s="7" t="s">
        <v>2</v>
      </c>
    </row>
    <row r="4" spans="1:7" x14ac:dyDescent="0.3">
      <c r="A4" s="3" t="s">
        <v>3</v>
      </c>
      <c r="C4" s="2">
        <v>157000</v>
      </c>
      <c r="E4" s="2">
        <v>46750</v>
      </c>
      <c r="G4" s="8">
        <f>SUM(C4:E4)</f>
        <v>203750</v>
      </c>
    </row>
    <row r="5" spans="1:7" x14ac:dyDescent="0.3">
      <c r="A5" s="3" t="s">
        <v>4</v>
      </c>
      <c r="C5" s="2">
        <v>25000</v>
      </c>
      <c r="G5" s="8">
        <f>C5</f>
        <v>25000</v>
      </c>
    </row>
    <row r="6" spans="1:7" x14ac:dyDescent="0.3">
      <c r="A6" s="3" t="s">
        <v>15</v>
      </c>
      <c r="C6" s="2">
        <v>120000</v>
      </c>
      <c r="G6" s="2">
        <v>200000</v>
      </c>
    </row>
    <row r="7" spans="1:7" x14ac:dyDescent="0.3">
      <c r="G7" s="2"/>
    </row>
    <row r="8" spans="1:7" x14ac:dyDescent="0.3">
      <c r="A8" s="3" t="s">
        <v>5</v>
      </c>
      <c r="B8" s="9" t="s">
        <v>6</v>
      </c>
      <c r="C8" s="2">
        <v>1.1000000000000001</v>
      </c>
    </row>
    <row r="9" spans="1:7" x14ac:dyDescent="0.3">
      <c r="A9" s="3" t="s">
        <v>12</v>
      </c>
      <c r="B9" s="10">
        <v>11000</v>
      </c>
      <c r="C9" s="2">
        <f>C8*B9</f>
        <v>12100.000000000002</v>
      </c>
    </row>
    <row r="10" spans="1:7" x14ac:dyDescent="0.3">
      <c r="A10" s="3" t="s">
        <v>13</v>
      </c>
      <c r="B10" s="10">
        <v>24000</v>
      </c>
      <c r="C10" s="2">
        <f>B10*C8</f>
        <v>26400.000000000004</v>
      </c>
    </row>
    <row r="11" spans="1:7" x14ac:dyDescent="0.3">
      <c r="A11" s="11" t="s">
        <v>14</v>
      </c>
      <c r="B11" s="11"/>
      <c r="C11" s="12">
        <f>C4-C9-C10</f>
        <v>118500</v>
      </c>
      <c r="D11" s="12"/>
      <c r="E11" s="12">
        <f>E4</f>
        <v>46750</v>
      </c>
      <c r="F11" s="11"/>
      <c r="G11" s="13">
        <f>SUM(C11:E11)</f>
        <v>165250</v>
      </c>
    </row>
    <row r="12" spans="1:7" x14ac:dyDescent="0.3">
      <c r="A12" s="14"/>
      <c r="B12" s="14"/>
      <c r="C12" s="15"/>
    </row>
    <row r="13" spans="1:7" x14ac:dyDescent="0.3">
      <c r="A13" s="3" t="s">
        <v>16</v>
      </c>
      <c r="G13" s="8">
        <f>G11-G5</f>
        <v>140250</v>
      </c>
    </row>
    <row r="14" spans="1:7" x14ac:dyDescent="0.3">
      <c r="A14" s="3" t="s">
        <v>7</v>
      </c>
      <c r="G14" s="8">
        <f>G6-B9-B10</f>
        <v>165000</v>
      </c>
    </row>
    <row r="15" spans="1:7" x14ac:dyDescent="0.3">
      <c r="A15" s="3" t="s">
        <v>8</v>
      </c>
      <c r="G15" s="2">
        <f>G13/G14</f>
        <v>0.85</v>
      </c>
    </row>
    <row r="16" spans="1:7" x14ac:dyDescent="0.3">
      <c r="G16" s="2"/>
    </row>
    <row r="17" spans="1:7" x14ac:dyDescent="0.3">
      <c r="A17" s="3" t="s">
        <v>20</v>
      </c>
      <c r="B17" s="10">
        <v>20000</v>
      </c>
      <c r="G17" s="16">
        <f>G15*B17</f>
        <v>17000</v>
      </c>
    </row>
    <row r="19" spans="1:7" x14ac:dyDescent="0.3">
      <c r="A19" s="17" t="s">
        <v>17</v>
      </c>
      <c r="B19" s="17"/>
    </row>
    <row r="20" spans="1:7" x14ac:dyDescent="0.3">
      <c r="A20" s="3" t="s">
        <v>3</v>
      </c>
      <c r="G20" s="8">
        <f>G4</f>
        <v>203750</v>
      </c>
    </row>
    <row r="21" spans="1:7" x14ac:dyDescent="0.3">
      <c r="A21" s="18" t="s">
        <v>18</v>
      </c>
      <c r="B21" s="18"/>
      <c r="C21" s="19"/>
      <c r="D21" s="19"/>
      <c r="E21" s="19"/>
      <c r="F21" s="18"/>
      <c r="G21" s="20">
        <f>C9+C10+G17</f>
        <v>55500.000000000007</v>
      </c>
    </row>
    <row r="22" spans="1:7" x14ac:dyDescent="0.3">
      <c r="A22" s="3" t="s">
        <v>19</v>
      </c>
      <c r="G22" s="16">
        <f>G4-G21</f>
        <v>148250</v>
      </c>
    </row>
    <row r="23" spans="1:7" x14ac:dyDescent="0.3">
      <c r="A23" s="3" t="s">
        <v>9</v>
      </c>
      <c r="G23" s="16">
        <v>120000</v>
      </c>
    </row>
    <row r="24" spans="1:7" ht="16.2" thickBot="1" x14ac:dyDescent="0.35">
      <c r="A24" s="21" t="s">
        <v>10</v>
      </c>
      <c r="B24" s="21"/>
      <c r="C24" s="22"/>
      <c r="D24" s="22"/>
      <c r="E24" s="22"/>
      <c r="F24" s="21"/>
      <c r="G24" s="23">
        <f>G23-G22</f>
        <v>-28250</v>
      </c>
    </row>
    <row r="25" spans="1:7" ht="16.2" thickTop="1" x14ac:dyDescent="0.3"/>
  </sheetData>
  <pageMargins left="0.7" right="0.7" top="0.75" bottom="0.75" header="0.3" footer="0.3"/>
  <pageSetup paperSize="9" orientation="portrait" horizontalDpi="4294967293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6" ma:contentTypeDescription="Create a new document." ma:contentTypeScope="" ma:versionID="49399891a53dd8585e919ee0466e9fe1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c0be66e70180189e12c94556f96c2065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Props1.xml><?xml version="1.0" encoding="utf-8"?>
<ds:datastoreItem xmlns:ds="http://schemas.openxmlformats.org/officeDocument/2006/customXml" ds:itemID="{B7CDD2EC-342D-4E64-B7A3-77EFFD20DB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A867CE-7983-44FD-BB11-6981605EB3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77C3BE-8DE5-4A70-9148-7EC51F9BD9B5}">
  <ds:schemaRefs>
    <ds:schemaRef ds:uri="e3370fb0-917d-486d-8ec5-33c5248dbdec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a53cfe13-88a2-4d8a-921a-26acc93ffab7"/>
    <ds:schemaRef ds:uri="http://purl.org/dc/terms/"/>
    <ds:schemaRef ds:uri="http://schemas.microsoft.com/office/2006/documentManagement/types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Caterpillar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2023-10-19T09:19:23Z</dcterms:created>
  <dcterms:modified xsi:type="dcterms:W3CDTF">2025-10-14T10:03:31Z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