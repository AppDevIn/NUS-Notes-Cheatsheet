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bizhann\OneDrive - National University of Singapore\TEACHING\AY2526 S1 ACC1701XA\Lecture 07 Inventory\"/>
    </mc:Choice>
  </mc:AlternateContent>
  <xr:revisionPtr revIDLastSave="1" documentId="14_{5E2C3ED4-7F51-4412-B838-90E56EB424F4}" xr6:coauthVersionLast="36" xr6:coauthVersionMax="36" xr10:uidLastSave="{7E554A50-874A-466C-A021-7F5C007D5EF2}"/>
  <bookViews>
    <workbookView xWindow="-108" yWindow="-108" windowWidth="19416" windowHeight="11496" xr2:uid="{747F0D1E-28D7-4169-8FE0-1D2EC6E9C447}"/>
  </bookViews>
  <sheets>
    <sheet name="Black Myth"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84" i="1" l="1"/>
  <c r="G15" i="1"/>
  <c r="K78" i="1" l="1"/>
  <c r="K79" i="1" s="1"/>
  <c r="H78" i="1"/>
  <c r="H79" i="1" s="1"/>
  <c r="E78" i="1"/>
  <c r="E79" i="1" s="1"/>
  <c r="N77" i="1"/>
  <c r="N73" i="1"/>
  <c r="H73" i="1"/>
  <c r="J71" i="1"/>
  <c r="D71" i="1"/>
  <c r="E71" i="1" s="1"/>
  <c r="E74" i="1" s="1"/>
  <c r="E84" i="1" s="1"/>
  <c r="M70" i="1"/>
  <c r="N78" i="1" s="1"/>
  <c r="G70" i="1"/>
  <c r="M68" i="1" s="1"/>
  <c r="M71" i="1" s="1"/>
  <c r="N71" i="1" s="1"/>
  <c r="M69" i="1"/>
  <c r="G69" i="1"/>
  <c r="G71" i="1" s="1"/>
  <c r="H71" i="1" s="1"/>
  <c r="H74" i="1" s="1"/>
  <c r="H84" i="1" s="1"/>
  <c r="J68" i="1"/>
  <c r="Q68" i="1" s="1"/>
  <c r="G68" i="1"/>
  <c r="N66" i="1"/>
  <c r="N74" i="1" s="1"/>
  <c r="H51" i="1"/>
  <c r="K50" i="1"/>
  <c r="K51" i="1" s="1"/>
  <c r="H50" i="1"/>
  <c r="E50" i="1"/>
  <c r="E51" i="1" s="1"/>
  <c r="N49" i="1"/>
  <c r="N45" i="1"/>
  <c r="H45" i="1"/>
  <c r="J43" i="1"/>
  <c r="G43" i="1"/>
  <c r="H43" i="1" s="1"/>
  <c r="H46" i="1" s="1"/>
  <c r="H56" i="1" s="1"/>
  <c r="D43" i="1"/>
  <c r="E43" i="1" s="1"/>
  <c r="E46" i="1" s="1"/>
  <c r="E56" i="1" s="1"/>
  <c r="M42" i="1"/>
  <c r="N50" i="1" s="1"/>
  <c r="N51" i="1" s="1"/>
  <c r="G42" i="1"/>
  <c r="M41" i="1"/>
  <c r="G41" i="1"/>
  <c r="M40" i="1"/>
  <c r="J40" i="1"/>
  <c r="G40" i="1"/>
  <c r="N38" i="1"/>
  <c r="D35" i="1"/>
  <c r="D63" i="1" s="1"/>
  <c r="H23" i="1"/>
  <c r="H24" i="1" s="1"/>
  <c r="E23" i="1"/>
  <c r="E24" i="1" s="1"/>
  <c r="H18" i="1"/>
  <c r="D16" i="1"/>
  <c r="E16" i="1" s="1"/>
  <c r="E19" i="1" s="1"/>
  <c r="G14" i="1"/>
  <c r="G13" i="1"/>
  <c r="G16" i="1" s="1"/>
  <c r="M43" i="1" l="1"/>
  <c r="N43" i="1" s="1"/>
  <c r="N46" i="1" s="1"/>
  <c r="N56" i="1" s="1"/>
  <c r="N57" i="1" s="1"/>
  <c r="N58" i="1" s="1"/>
  <c r="E29" i="1"/>
  <c r="Q71" i="1"/>
  <c r="H85" i="1"/>
  <c r="H86" i="1" s="1"/>
  <c r="Q78" i="1"/>
  <c r="N79" i="1"/>
  <c r="E85" i="1"/>
  <c r="E86" i="1" s="1"/>
  <c r="E57" i="1"/>
  <c r="E58" i="1" s="1"/>
  <c r="H57" i="1"/>
  <c r="H58" i="1" s="1"/>
  <c r="K16" i="1"/>
  <c r="H16" i="1"/>
  <c r="H19" i="1" s="1"/>
  <c r="H29" i="1" s="1"/>
  <c r="H30" i="1" s="1"/>
  <c r="H31" i="1" s="1"/>
  <c r="Q70" i="1"/>
  <c r="K43" i="1"/>
  <c r="K46" i="1" s="1"/>
  <c r="K23" i="1"/>
  <c r="K71" i="1"/>
  <c r="K74" i="1" s="1"/>
  <c r="Q74" i="1" s="1"/>
  <c r="J35" i="1"/>
  <c r="J63" i="1" s="1"/>
  <c r="Q46" i="1" l="1"/>
  <c r="Q43" i="1"/>
  <c r="K56" i="1"/>
  <c r="K57" i="1" s="1"/>
  <c r="K58" i="1" s="1"/>
  <c r="K84" i="1"/>
  <c r="K85" i="1" s="1"/>
  <c r="K86" i="1" s="1"/>
  <c r="N85" i="1"/>
  <c r="N86" i="1" s="1"/>
  <c r="Q84" i="1"/>
  <c r="K29" i="1"/>
  <c r="E30" i="1"/>
  <c r="E31" i="1" s="1"/>
  <c r="K19" i="1"/>
</calcChain>
</file>

<file path=xl/sharedStrings.xml><?xml version="1.0" encoding="utf-8"?>
<sst xmlns="http://schemas.openxmlformats.org/spreadsheetml/2006/main" count="100" uniqueCount="44">
  <si>
    <t>Lecture 07 - Inventory: Effect of Inventory Errors: Black Myth Inc. In-class Example</t>
  </si>
  <si>
    <t xml:space="preserve">Examine the effect of inventory mistatements on Black Myth Inc. financial statements. Assume that Black Myth Inc. is in the first year of operation in 2024 (Beg RE is zero). </t>
  </si>
  <si>
    <t>(a) In 2024, there was an overstatement (OS) of ending inventory by $4,500. What is the effect on the FS?</t>
  </si>
  <si>
    <t>ORIGINAL</t>
  </si>
  <si>
    <t>AMENDED</t>
  </si>
  <si>
    <t>Effects</t>
  </si>
  <si>
    <t>Income Statement</t>
  </si>
  <si>
    <t>Sales Revenue</t>
  </si>
  <si>
    <t>Less: COGS</t>
  </si>
  <si>
    <t>Beginning Inventory</t>
  </si>
  <si>
    <t>Add: Purchases</t>
  </si>
  <si>
    <t>Less: Ending Inventory</t>
  </si>
  <si>
    <t>COGS</t>
  </si>
  <si>
    <t xml:space="preserve"> </t>
  </si>
  <si>
    <t xml:space="preserve">COGS understated </t>
  </si>
  <si>
    <t>Less Operating Expenses</t>
  </si>
  <si>
    <t>Net Income</t>
  </si>
  <si>
    <t xml:space="preserve">NI overstated by </t>
  </si>
  <si>
    <t>Statement of Financial Position</t>
  </si>
  <si>
    <t>Assets</t>
  </si>
  <si>
    <t>Cash &amp; AR</t>
  </si>
  <si>
    <t>Inventory</t>
  </si>
  <si>
    <t>Assets overstated by</t>
  </si>
  <si>
    <t>Total Assets</t>
  </si>
  <si>
    <t>Liabilities</t>
  </si>
  <si>
    <t xml:space="preserve">Equity </t>
  </si>
  <si>
    <t>Share Capital</t>
  </si>
  <si>
    <t>Retained Earnings</t>
  </si>
  <si>
    <t xml:space="preserve">Equity overstated by </t>
  </si>
  <si>
    <t>Total Equity</t>
  </si>
  <si>
    <t>Total Liabilities &amp; Equity</t>
  </si>
  <si>
    <t>(b) SCENARIO A: In 2025, there is now an error in the beginning inventory balance - an overstatement of beginning inventory of $4,500 (carried over from 2024). What is the effect on 2025 FS?</t>
  </si>
  <si>
    <t>COGS overstated by</t>
  </si>
  <si>
    <t xml:space="preserve">NI understated by </t>
  </si>
  <si>
    <t>Note that the equity is corrected in this period because there is now an understatement of NI (Retained Earnings) in the same amount of 4,500.</t>
  </si>
  <si>
    <t>(28,000 + 47,000)</t>
  </si>
  <si>
    <t>(23,500 + 51,500)</t>
  </si>
  <si>
    <t>(c) SCENARO B: In 2025, there is now an error in the beginning inventory balance - an overstatement of beginning inventory of $4,500 (carried over from 2024). Additionally, there is also an understatement of the ending inventory of $2,300 at the end of 2025. What is the effect on the 2025 FS?</t>
  </si>
  <si>
    <t>Total COGS overstated by</t>
  </si>
  <si>
    <t>Asset understated by</t>
  </si>
  <si>
    <t>(23,500 + 53,800)</t>
  </si>
  <si>
    <t xml:space="preserve">Equity understated by </t>
  </si>
  <si>
    <t xml:space="preserve">Note that the equity is understated this period by the error in this period's ending inventory balance only, because the last period's ending inventory error effect has been "corrected" in this period. </t>
  </si>
  <si>
    <t>ACC 1701XA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</si>
</sst>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3">
    <font>
      <sz val="11"/>
      <color theme="1"/>
      <name val="Aptos Narrow"/>
      <family val="2"/>
      <scheme val="minor"/>
    </font>
    <font>
      <sz val="11"/>
      <color theme="1"/>
      <name val="Aptos Narrow"/>
      <family val="2"/>
      <scheme val="minor"/>
    </font>
    <font>
      <sz val="12"/>
      <color theme="1"/>
      <name val="Times New Roman"/>
      <family val="1"/>
    </font>
    <font>
      <i/>
      <sz val="12"/>
      <color theme="1"/>
      <name val="Times New Roman"/>
      <family val="1"/>
    </font>
    <font>
      <b/>
      <sz val="12"/>
      <color theme="1"/>
      <name val="Times New Roman"/>
      <family val="1"/>
    </font>
    <font>
      <b/>
      <sz val="18"/>
      <color theme="1"/>
      <name val="Times New Roman"/>
      <family val="1"/>
    </font>
    <font>
      <sz val="18"/>
      <color theme="1"/>
      <name val="Times New Roman"/>
      <family val="1"/>
    </font>
    <font>
      <i/>
      <sz val="18"/>
      <color theme="1"/>
      <name val="Times New Roman"/>
      <family val="1"/>
    </font>
    <font>
      <i/>
      <sz val="12"/>
      <name val="Times New Roman"/>
      <family val="1"/>
    </font>
    <font>
      <sz val="12"/>
      <name val="Times New Roman"/>
      <family val="1"/>
    </font>
    <font>
      <b/>
      <sz val="12"/>
      <name val="Times New Roman"/>
      <family val="1"/>
    </font>
    <font>
      <u/>
      <sz val="12"/>
      <name val="Times New Roman"/>
      <family val="1"/>
    </font>
    <font>
      <b/>
      <i/>
      <sz val="12"/>
      <name val="Times New Roman"/>
      <family val="1"/>
    </font>
  </fonts>
  <fills count="8">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79998168889431442"/>
        <bgColor indexed="64"/>
      </patternFill>
    </fill>
  </fills>
  <borders count="11">
    <border>
      <left/>
      <right/>
      <top/>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diagonal/>
    </border>
    <border>
      <left/>
      <right style="thin">
        <color auto="1"/>
      </right>
      <top/>
      <bottom/>
      <diagonal/>
    </border>
    <border>
      <left style="thin">
        <color auto="1"/>
      </left>
      <right/>
      <top/>
      <bottom style="thin">
        <color indexed="64"/>
      </bottom>
      <diagonal/>
    </border>
    <border>
      <left/>
      <right style="thin">
        <color auto="1"/>
      </right>
      <top/>
      <bottom style="thin">
        <color indexed="64"/>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97">
    <xf numFmtId="0" fontId="0" fillId="0" borderId="0" xfId="0"/>
    <xf numFmtId="0" fontId="2" fillId="0" borderId="0" xfId="0" applyFont="1"/>
    <xf numFmtId="0" fontId="3" fillId="0" borderId="0" xfId="0" applyFont="1"/>
    <xf numFmtId="164" fontId="2" fillId="0" borderId="0" xfId="1" applyNumberFormat="1" applyFont="1"/>
    <xf numFmtId="0" fontId="4" fillId="0" borderId="0" xfId="0" applyFont="1"/>
    <xf numFmtId="0" fontId="2" fillId="3" borderId="6" xfId="0" applyFont="1" applyFill="1" applyBorder="1"/>
    <xf numFmtId="0" fontId="2" fillId="3" borderId="7" xfId="0" applyFont="1" applyFill="1" applyBorder="1"/>
    <xf numFmtId="164" fontId="2" fillId="3" borderId="7" xfId="0" applyNumberFormat="1" applyFont="1" applyFill="1" applyBorder="1"/>
    <xf numFmtId="0" fontId="2" fillId="3" borderId="8" xfId="0" applyFont="1" applyFill="1" applyBorder="1"/>
    <xf numFmtId="164" fontId="2" fillId="3" borderId="9" xfId="0" applyNumberFormat="1" applyFont="1" applyFill="1" applyBorder="1"/>
    <xf numFmtId="0" fontId="2" fillId="3" borderId="1" xfId="0" applyFont="1" applyFill="1" applyBorder="1"/>
    <xf numFmtId="0" fontId="2" fillId="3" borderId="3" xfId="0" applyFont="1" applyFill="1" applyBorder="1"/>
    <xf numFmtId="0" fontId="3" fillId="3" borderId="6" xfId="0" applyFont="1" applyFill="1" applyBorder="1" applyAlignment="1">
      <alignment wrapText="1"/>
    </xf>
    <xf numFmtId="0" fontId="3" fillId="3" borderId="7" xfId="0" applyFont="1" applyFill="1" applyBorder="1" applyAlignment="1">
      <alignment wrapText="1"/>
    </xf>
    <xf numFmtId="0" fontId="2" fillId="3" borderId="6" xfId="0" applyFont="1" applyFill="1" applyBorder="1" applyAlignment="1">
      <alignment wrapText="1"/>
    </xf>
    <xf numFmtId="0" fontId="5" fillId="0" borderId="0" xfId="0" applyFont="1"/>
    <xf numFmtId="0" fontId="6" fillId="0" borderId="0" xfId="0" applyFont="1"/>
    <xf numFmtId="0" fontId="7" fillId="0" borderId="0" xfId="0" applyFont="1"/>
    <xf numFmtId="164" fontId="6" fillId="0" borderId="0" xfId="1" applyNumberFormat="1" applyFont="1"/>
    <xf numFmtId="0" fontId="2" fillId="4" borderId="0" xfId="0" applyFont="1" applyFill="1"/>
    <xf numFmtId="0" fontId="4" fillId="6" borderId="0" xfId="0" applyFont="1" applyFill="1"/>
    <xf numFmtId="0" fontId="2" fillId="6" borderId="0" xfId="0" applyFont="1" applyFill="1"/>
    <xf numFmtId="0" fontId="3" fillId="6" borderId="0" xfId="0" applyFont="1" applyFill="1"/>
    <xf numFmtId="164" fontId="2" fillId="6" borderId="0" xfId="1" applyNumberFormat="1" applyFont="1" applyFill="1"/>
    <xf numFmtId="164" fontId="8" fillId="0" borderId="8" xfId="1" applyNumberFormat="1" applyFont="1" applyFill="1" applyBorder="1"/>
    <xf numFmtId="0" fontId="9" fillId="0" borderId="1" xfId="0" applyFont="1" applyBorder="1"/>
    <xf numFmtId="0" fontId="9" fillId="0" borderId="2" xfId="0" applyFont="1" applyBorder="1"/>
    <xf numFmtId="0" fontId="8" fillId="0" borderId="3" xfId="0" applyFont="1" applyBorder="1"/>
    <xf numFmtId="164" fontId="9" fillId="0" borderId="0" xfId="1" applyNumberFormat="1" applyFont="1" applyAlignment="1">
      <alignment horizontal="center"/>
    </xf>
    <xf numFmtId="0" fontId="9" fillId="0" borderId="0" xfId="0" applyFont="1"/>
    <xf numFmtId="0" fontId="11" fillId="0" borderId="6" xfId="0" applyFont="1" applyBorder="1"/>
    <xf numFmtId="0" fontId="8" fillId="0" borderId="7" xfId="0" applyFont="1" applyBorder="1"/>
    <xf numFmtId="164" fontId="9" fillId="0" borderId="6" xfId="1" applyNumberFormat="1" applyFont="1" applyBorder="1"/>
    <xf numFmtId="164" fontId="9" fillId="0" borderId="7" xfId="1" applyNumberFormat="1" applyFont="1" applyBorder="1"/>
    <xf numFmtId="164" fontId="9" fillId="0" borderId="0" xfId="1" applyNumberFormat="1" applyFont="1"/>
    <xf numFmtId="0" fontId="9" fillId="3" borderId="6" xfId="0" applyFont="1" applyFill="1" applyBorder="1"/>
    <xf numFmtId="0" fontId="9" fillId="3" borderId="7" xfId="0" applyFont="1" applyFill="1" applyBorder="1"/>
    <xf numFmtId="0" fontId="9" fillId="0" borderId="6" xfId="0" applyFont="1" applyBorder="1"/>
    <xf numFmtId="164" fontId="8" fillId="0" borderId="6" xfId="1" applyNumberFormat="1" applyFont="1" applyBorder="1"/>
    <xf numFmtId="164" fontId="9" fillId="0" borderId="9" xfId="1" applyNumberFormat="1" applyFont="1" applyBorder="1"/>
    <xf numFmtId="164" fontId="9" fillId="0" borderId="10" xfId="1" applyNumberFormat="1" applyFont="1" applyBorder="1"/>
    <xf numFmtId="164" fontId="8" fillId="6" borderId="8" xfId="1" applyNumberFormat="1" applyFont="1" applyFill="1" applyBorder="1"/>
    <xf numFmtId="164" fontId="9" fillId="3" borderId="7" xfId="0" applyNumberFormat="1" applyFont="1" applyFill="1" applyBorder="1"/>
    <xf numFmtId="0" fontId="9" fillId="0" borderId="8" xfId="0" applyFont="1" applyBorder="1"/>
    <xf numFmtId="0" fontId="9" fillId="0" borderId="10" xfId="0" applyFont="1" applyBorder="1"/>
    <xf numFmtId="0" fontId="8" fillId="0" borderId="9" xfId="0" applyFont="1" applyBorder="1"/>
    <xf numFmtId="164" fontId="9" fillId="0" borderId="4" xfId="1" applyNumberFormat="1" applyFont="1" applyBorder="1"/>
    <xf numFmtId="164" fontId="9" fillId="0" borderId="5" xfId="1" applyNumberFormat="1" applyFont="1" applyBorder="1"/>
    <xf numFmtId="0" fontId="9" fillId="3" borderId="8" xfId="0" applyFont="1" applyFill="1" applyBorder="1"/>
    <xf numFmtId="164" fontId="9" fillId="3" borderId="9" xfId="0" applyNumberFormat="1" applyFont="1" applyFill="1" applyBorder="1"/>
    <xf numFmtId="0" fontId="11" fillId="0" borderId="1" xfId="0" applyFont="1" applyBorder="1"/>
    <xf numFmtId="0" fontId="8" fillId="0" borderId="2" xfId="0" applyFont="1" applyBorder="1"/>
    <xf numFmtId="164" fontId="9" fillId="0" borderId="1" xfId="1" applyNumberFormat="1" applyFont="1" applyBorder="1"/>
    <xf numFmtId="164" fontId="9" fillId="0" borderId="3" xfId="1" applyNumberFormat="1" applyFont="1" applyBorder="1"/>
    <xf numFmtId="0" fontId="9" fillId="3" borderId="1" xfId="0" applyFont="1" applyFill="1" applyBorder="1"/>
    <xf numFmtId="0" fontId="9" fillId="3" borderId="3" xfId="0" applyFont="1" applyFill="1" applyBorder="1"/>
    <xf numFmtId="0" fontId="8" fillId="0" borderId="0" xfId="0" applyFont="1"/>
    <xf numFmtId="164" fontId="9" fillId="6" borderId="7" xfId="1" applyNumberFormat="1" applyFont="1" applyFill="1" applyBorder="1"/>
    <xf numFmtId="0" fontId="8" fillId="0" borderId="10" xfId="0" applyFont="1" applyBorder="1"/>
    <xf numFmtId="0" fontId="9" fillId="3" borderId="9" xfId="0" applyFont="1" applyFill="1" applyBorder="1"/>
    <xf numFmtId="0" fontId="10" fillId="0" borderId="0" xfId="0" applyFont="1"/>
    <xf numFmtId="1" fontId="10" fillId="0" borderId="0" xfId="1" applyNumberFormat="1" applyFont="1" applyFill="1" applyAlignment="1"/>
    <xf numFmtId="164" fontId="12" fillId="0" borderId="6" xfId="1" applyNumberFormat="1" applyFont="1" applyFill="1" applyBorder="1"/>
    <xf numFmtId="164" fontId="10" fillId="0" borderId="7" xfId="1" applyNumberFormat="1" applyFont="1" applyBorder="1"/>
    <xf numFmtId="164" fontId="10" fillId="0" borderId="0" xfId="1" applyNumberFormat="1" applyFont="1"/>
    <xf numFmtId="164" fontId="12" fillId="4" borderId="6" xfId="1" applyNumberFormat="1" applyFont="1" applyFill="1" applyBorder="1"/>
    <xf numFmtId="0" fontId="12" fillId="0" borderId="7" xfId="0" applyFont="1" applyBorder="1"/>
    <xf numFmtId="164" fontId="12" fillId="0" borderId="8" xfId="1" applyNumberFormat="1" applyFont="1" applyFill="1" applyBorder="1"/>
    <xf numFmtId="164" fontId="10" fillId="0" borderId="9" xfId="1" applyNumberFormat="1" applyFont="1" applyFill="1" applyBorder="1"/>
    <xf numFmtId="164" fontId="10" fillId="0" borderId="10" xfId="1" applyNumberFormat="1" applyFont="1" applyFill="1" applyBorder="1"/>
    <xf numFmtId="164" fontId="12" fillId="6" borderId="8" xfId="1" applyNumberFormat="1" applyFont="1" applyFill="1" applyBorder="1"/>
    <xf numFmtId="164" fontId="9" fillId="0" borderId="7" xfId="1" applyNumberFormat="1" applyFont="1" applyFill="1" applyBorder="1"/>
    <xf numFmtId="164" fontId="9" fillId="4" borderId="6" xfId="1" applyNumberFormat="1" applyFont="1" applyFill="1" applyBorder="1" applyAlignment="1">
      <alignment horizontal="right"/>
    </xf>
    <xf numFmtId="164" fontId="9" fillId="4" borderId="7" xfId="1" applyNumberFormat="1" applyFont="1" applyFill="1" applyBorder="1"/>
    <xf numFmtId="164" fontId="8" fillId="0" borderId="8" xfId="1" applyNumberFormat="1" applyFont="1" applyBorder="1"/>
    <xf numFmtId="164" fontId="9" fillId="0" borderId="6" xfId="1" applyNumberFormat="1" applyFont="1" applyFill="1" applyBorder="1" applyAlignment="1">
      <alignment horizontal="right"/>
    </xf>
    <xf numFmtId="164" fontId="12" fillId="7" borderId="6" xfId="1" applyNumberFormat="1" applyFont="1" applyFill="1" applyBorder="1"/>
    <xf numFmtId="164" fontId="8" fillId="7" borderId="8" xfId="1" applyNumberFormat="1" applyFont="1" applyFill="1" applyBorder="1"/>
    <xf numFmtId="164" fontId="9" fillId="7" borderId="7" xfId="1" applyNumberFormat="1" applyFont="1" applyFill="1" applyBorder="1"/>
    <xf numFmtId="164" fontId="9" fillId="7" borderId="6" xfId="1" applyNumberFormat="1" applyFont="1" applyFill="1" applyBorder="1" applyAlignment="1">
      <alignment horizontal="right"/>
    </xf>
    <xf numFmtId="0" fontId="2" fillId="7" borderId="0" xfId="0" applyFont="1" applyFill="1"/>
    <xf numFmtId="0" fontId="10" fillId="4" borderId="0" xfId="0" applyFont="1" applyFill="1" applyAlignment="1">
      <alignment horizontal="left" wrapText="1"/>
    </xf>
    <xf numFmtId="0" fontId="4" fillId="0" borderId="0" xfId="0" applyFont="1" applyAlignment="1">
      <alignment horizontal="left" wrapText="1"/>
    </xf>
    <xf numFmtId="1" fontId="4" fillId="2" borderId="0" xfId="1" applyNumberFormat="1" applyFont="1" applyFill="1" applyAlignment="1">
      <alignment horizontal="center"/>
    </xf>
    <xf numFmtId="164" fontId="10" fillId="0" borderId="4" xfId="1" applyNumberFormat="1" applyFont="1" applyBorder="1" applyAlignment="1">
      <alignment horizontal="center"/>
    </xf>
    <xf numFmtId="164" fontId="10" fillId="0" borderId="5" xfId="1" applyNumberFormat="1" applyFont="1" applyBorder="1" applyAlignment="1">
      <alignment horizontal="center"/>
    </xf>
    <xf numFmtId="0" fontId="10" fillId="3" borderId="4" xfId="0" applyFont="1" applyFill="1" applyBorder="1" applyAlignment="1">
      <alignment horizontal="center"/>
    </xf>
    <xf numFmtId="0" fontId="10" fillId="3" borderId="5" xfId="0" applyFont="1" applyFill="1" applyBorder="1" applyAlignment="1">
      <alignment horizontal="center"/>
    </xf>
    <xf numFmtId="1" fontId="10" fillId="2" borderId="0" xfId="1" applyNumberFormat="1" applyFont="1" applyFill="1" applyAlignment="1">
      <alignment horizontal="center"/>
    </xf>
    <xf numFmtId="1" fontId="10" fillId="5" borderId="0" xfId="1" applyNumberFormat="1" applyFont="1" applyFill="1" applyAlignment="1">
      <alignment horizontal="center"/>
    </xf>
    <xf numFmtId="0" fontId="3" fillId="3" borderId="6" xfId="0" applyFont="1" applyFill="1" applyBorder="1" applyAlignment="1">
      <alignment horizontal="left" wrapText="1"/>
    </xf>
    <xf numFmtId="0" fontId="3" fillId="3" borderId="7" xfId="0" applyFont="1" applyFill="1" applyBorder="1" applyAlignment="1">
      <alignment horizontal="left" wrapText="1"/>
    </xf>
    <xf numFmtId="0" fontId="3" fillId="3" borderId="8" xfId="0" applyFont="1" applyFill="1" applyBorder="1" applyAlignment="1">
      <alignment horizontal="left" wrapText="1"/>
    </xf>
    <xf numFmtId="0" fontId="3" fillId="3" borderId="9" xfId="0" applyFont="1" applyFill="1" applyBorder="1" applyAlignment="1">
      <alignment horizontal="left" wrapText="1"/>
    </xf>
    <xf numFmtId="0" fontId="4" fillId="3" borderId="4" xfId="0" applyFont="1" applyFill="1" applyBorder="1" applyAlignment="1">
      <alignment horizontal="center"/>
    </xf>
    <xf numFmtId="0" fontId="4" fillId="3" borderId="5" xfId="0" applyFont="1" applyFill="1" applyBorder="1" applyAlignment="1">
      <alignment horizontal="center"/>
    </xf>
    <xf numFmtId="0" fontId="10" fillId="7" borderId="0" xfId="0" applyFont="1" applyFill="1" applyAlignment="1">
      <alignment horizontal="lef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2636-B852-4978-B96D-9B945459588E}">
  <dimension ref="A1:Q89"/>
  <sheetViews>
    <sheetView tabSelected="1" topLeftCell="A16" zoomScale="75" zoomScaleNormal="75" workbookViewId="0">
      <selection activeCell="N10" sqref="N10"/>
    </sheetView>
  </sheetViews>
  <sheetFormatPr defaultColWidth="8.8984375" defaultRowHeight="15.6"/>
  <cols>
    <col min="1" max="1" width="6.5" style="1" customWidth="1"/>
    <col min="2" max="2" width="7.09765625" style="1" customWidth="1"/>
    <col min="3" max="3" width="26.3984375" style="2" customWidth="1"/>
    <col min="4" max="5" width="12.09765625" style="3" customWidth="1"/>
    <col min="6" max="6" width="2.8984375" style="3" customWidth="1"/>
    <col min="7" max="8" width="12.09765625" style="3" customWidth="1"/>
    <col min="9" max="9" width="1.5" style="1" customWidth="1"/>
    <col min="10" max="10" width="21.5" style="1" customWidth="1"/>
    <col min="11" max="11" width="12" style="1" customWidth="1"/>
    <col min="12" max="12" width="2.09765625" style="1" customWidth="1"/>
    <col min="13" max="13" width="18.8984375" style="1" bestFit="1" customWidth="1"/>
    <col min="14" max="14" width="13.5" style="1" customWidth="1"/>
    <col min="15" max="15" width="1.19921875" style="1" customWidth="1"/>
    <col min="16" max="16" width="23.8984375" style="1" bestFit="1" customWidth="1"/>
    <col min="17" max="17" width="9.5" style="1" bestFit="1" customWidth="1"/>
    <col min="18" max="16384" width="8.8984375" style="1"/>
  </cols>
  <sheetData>
    <row r="1" spans="1:14" s="16" customFormat="1" ht="22.8">
      <c r="A1" s="15" t="s">
        <v>43</v>
      </c>
      <c r="C1" s="17"/>
      <c r="D1" s="18"/>
      <c r="E1" s="18"/>
      <c r="F1" s="18"/>
      <c r="G1" s="18"/>
      <c r="H1" s="18"/>
    </row>
    <row r="2" spans="1:14" s="16" customFormat="1" ht="22.8">
      <c r="A2" s="15" t="s">
        <v>0</v>
      </c>
      <c r="C2" s="17"/>
      <c r="D2" s="18"/>
      <c r="E2" s="18"/>
      <c r="F2" s="18"/>
      <c r="G2" s="18"/>
      <c r="H2" s="18"/>
    </row>
    <row r="4" spans="1:14">
      <c r="A4" s="82" t="s">
        <v>1</v>
      </c>
      <c r="B4" s="82"/>
      <c r="C4" s="82"/>
      <c r="D4" s="82"/>
      <c r="E4" s="82"/>
      <c r="F4" s="82"/>
      <c r="G4" s="82"/>
      <c r="H4" s="82"/>
      <c r="I4" s="82"/>
      <c r="J4" s="82"/>
      <c r="K4" s="82"/>
      <c r="L4" s="82"/>
      <c r="M4" s="82"/>
      <c r="N4" s="82"/>
    </row>
    <row r="5" spans="1:14">
      <c r="A5" s="4"/>
    </row>
    <row r="6" spans="1:14" s="21" customFormat="1">
      <c r="A6" s="20" t="s">
        <v>2</v>
      </c>
      <c r="C6" s="22"/>
      <c r="D6" s="23"/>
      <c r="E6" s="23"/>
      <c r="F6" s="23"/>
      <c r="G6" s="23"/>
      <c r="H6" s="23"/>
    </row>
    <row r="7" spans="1:14">
      <c r="A7" s="4"/>
    </row>
    <row r="8" spans="1:14">
      <c r="D8" s="83">
        <v>2024</v>
      </c>
      <c r="E8" s="83"/>
      <c r="F8" s="83"/>
      <c r="G8" s="83"/>
      <c r="H8" s="83"/>
      <c r="I8" s="83"/>
      <c r="J8" s="83"/>
      <c r="K8" s="83"/>
    </row>
    <row r="9" spans="1:14">
      <c r="A9" s="25"/>
      <c r="B9" s="26"/>
      <c r="C9" s="27"/>
      <c r="D9" s="84" t="s">
        <v>3</v>
      </c>
      <c r="E9" s="85"/>
      <c r="F9" s="28"/>
      <c r="G9" s="84" t="s">
        <v>4</v>
      </c>
      <c r="H9" s="85"/>
      <c r="I9" s="29"/>
      <c r="J9" s="86" t="s">
        <v>5</v>
      </c>
      <c r="K9" s="87"/>
      <c r="L9" s="29"/>
      <c r="M9" s="29"/>
      <c r="N9" s="29"/>
    </row>
    <row r="10" spans="1:14">
      <c r="A10" s="30" t="s">
        <v>6</v>
      </c>
      <c r="B10" s="29"/>
      <c r="C10" s="31"/>
      <c r="D10" s="32"/>
      <c r="E10" s="33"/>
      <c r="F10" s="34"/>
      <c r="G10" s="32"/>
      <c r="H10" s="33"/>
      <c r="I10" s="29"/>
      <c r="J10" s="35"/>
      <c r="K10" s="36"/>
      <c r="L10" s="29"/>
      <c r="M10" s="29"/>
      <c r="N10" s="29"/>
    </row>
    <row r="11" spans="1:14">
      <c r="A11" s="37"/>
      <c r="B11" s="29" t="s">
        <v>7</v>
      </c>
      <c r="C11" s="31"/>
      <c r="D11" s="32"/>
      <c r="E11" s="33">
        <v>100000</v>
      </c>
      <c r="F11" s="34"/>
      <c r="G11" s="32"/>
      <c r="H11" s="33">
        <v>100000</v>
      </c>
      <c r="I11" s="29"/>
      <c r="J11" s="35"/>
      <c r="K11" s="36"/>
      <c r="L11" s="29"/>
      <c r="M11" s="29"/>
      <c r="N11" s="29"/>
    </row>
    <row r="12" spans="1:14">
      <c r="A12" s="37"/>
      <c r="B12" s="29" t="s">
        <v>8</v>
      </c>
      <c r="C12" s="31"/>
      <c r="D12" s="32"/>
      <c r="E12" s="33"/>
      <c r="F12" s="34"/>
      <c r="G12" s="38"/>
      <c r="H12" s="33"/>
      <c r="I12" s="29"/>
      <c r="J12" s="35"/>
      <c r="K12" s="36"/>
      <c r="L12" s="29"/>
      <c r="M12" s="29"/>
      <c r="N12" s="29"/>
    </row>
    <row r="13" spans="1:14">
      <c r="A13" s="37"/>
      <c r="B13" s="29"/>
      <c r="C13" s="31" t="s">
        <v>9</v>
      </c>
      <c r="D13" s="38">
        <v>20000</v>
      </c>
      <c r="E13" s="33"/>
      <c r="F13" s="34"/>
      <c r="G13" s="38">
        <f>D13</f>
        <v>20000</v>
      </c>
      <c r="H13" s="33"/>
      <c r="I13" s="29"/>
      <c r="J13" s="35"/>
      <c r="K13" s="36"/>
      <c r="L13" s="29"/>
      <c r="M13" s="29"/>
      <c r="N13" s="29"/>
    </row>
    <row r="14" spans="1:14">
      <c r="A14" s="37"/>
      <c r="B14" s="29"/>
      <c r="C14" s="31" t="s">
        <v>10</v>
      </c>
      <c r="D14" s="38">
        <v>35000</v>
      </c>
      <c r="E14" s="33"/>
      <c r="F14" s="34"/>
      <c r="G14" s="38">
        <f>D14</f>
        <v>35000</v>
      </c>
      <c r="H14" s="33"/>
      <c r="I14" s="29"/>
      <c r="J14" s="35"/>
      <c r="K14" s="36"/>
      <c r="L14" s="29"/>
      <c r="M14" s="29"/>
      <c r="N14" s="29"/>
    </row>
    <row r="15" spans="1:14">
      <c r="A15" s="37"/>
      <c r="B15" s="29"/>
      <c r="C15" s="31" t="s">
        <v>11</v>
      </c>
      <c r="D15" s="24">
        <v>-18000</v>
      </c>
      <c r="E15" s="39"/>
      <c r="F15" s="40"/>
      <c r="G15" s="41">
        <f>-(18000-4500)</f>
        <v>-13500</v>
      </c>
      <c r="H15" s="39"/>
      <c r="I15" s="29"/>
      <c r="J15" s="35"/>
      <c r="K15" s="36"/>
      <c r="L15" s="29"/>
      <c r="M15" s="29"/>
      <c r="N15" s="29"/>
    </row>
    <row r="16" spans="1:14">
      <c r="A16" s="37"/>
      <c r="B16" s="29"/>
      <c r="C16" s="31" t="s">
        <v>12</v>
      </c>
      <c r="D16" s="38">
        <f>SUM(D13:D15)</f>
        <v>37000</v>
      </c>
      <c r="E16" s="33">
        <f>-D16</f>
        <v>-37000</v>
      </c>
      <c r="F16" s="34"/>
      <c r="G16" s="38">
        <f>SUM(G13:G15)</f>
        <v>41500</v>
      </c>
      <c r="H16" s="33">
        <f>-G16</f>
        <v>-41500</v>
      </c>
      <c r="I16" s="29" t="s">
        <v>13</v>
      </c>
      <c r="J16" s="35" t="s">
        <v>14</v>
      </c>
      <c r="K16" s="42">
        <f>G16-D16</f>
        <v>4500</v>
      </c>
      <c r="L16" s="29"/>
      <c r="M16" s="29"/>
      <c r="N16" s="29"/>
    </row>
    <row r="17" spans="1:14">
      <c r="A17" s="37"/>
      <c r="B17" s="29"/>
      <c r="C17" s="31"/>
      <c r="D17" s="32"/>
      <c r="E17" s="33"/>
      <c r="F17" s="34"/>
      <c r="G17" s="32"/>
      <c r="H17" s="33"/>
      <c r="I17" s="29"/>
      <c r="J17" s="35"/>
      <c r="K17" s="36"/>
      <c r="L17" s="29"/>
      <c r="M17" s="29"/>
      <c r="N17" s="29"/>
    </row>
    <row r="18" spans="1:14">
      <c r="A18" s="37"/>
      <c r="B18" s="29" t="s">
        <v>15</v>
      </c>
      <c r="C18" s="31"/>
      <c r="D18" s="32"/>
      <c r="E18" s="33">
        <v>-35000</v>
      </c>
      <c r="F18" s="34"/>
      <c r="G18" s="32"/>
      <c r="H18" s="33">
        <f>E18</f>
        <v>-35000</v>
      </c>
      <c r="I18" s="29"/>
      <c r="J18" s="35"/>
      <c r="K18" s="36"/>
      <c r="L18" s="29"/>
      <c r="M18" s="29"/>
      <c r="N18" s="29"/>
    </row>
    <row r="19" spans="1:14">
      <c r="A19" s="43"/>
      <c r="B19" s="44" t="s">
        <v>16</v>
      </c>
      <c r="C19" s="45"/>
      <c r="D19" s="46"/>
      <c r="E19" s="47">
        <f>SUM(E11:E18)</f>
        <v>28000</v>
      </c>
      <c r="F19" s="34"/>
      <c r="G19" s="46"/>
      <c r="H19" s="47">
        <f>SUM(H11:H18)</f>
        <v>23500</v>
      </c>
      <c r="I19" s="29"/>
      <c r="J19" s="48" t="s">
        <v>17</v>
      </c>
      <c r="K19" s="49">
        <f>E19-H19</f>
        <v>4500</v>
      </c>
      <c r="L19" s="29"/>
      <c r="M19" s="29"/>
      <c r="N19" s="29"/>
    </row>
    <row r="20" spans="1:14">
      <c r="A20" s="50" t="s">
        <v>18</v>
      </c>
      <c r="B20" s="26"/>
      <c r="C20" s="51"/>
      <c r="D20" s="52"/>
      <c r="E20" s="53"/>
      <c r="F20" s="34"/>
      <c r="G20" s="52"/>
      <c r="H20" s="53"/>
      <c r="I20" s="29"/>
      <c r="J20" s="54"/>
      <c r="K20" s="55"/>
      <c r="L20" s="29"/>
      <c r="M20" s="29"/>
      <c r="N20" s="29"/>
    </row>
    <row r="21" spans="1:14">
      <c r="A21" s="37"/>
      <c r="B21" s="29" t="s">
        <v>19</v>
      </c>
      <c r="C21" s="56"/>
      <c r="D21" s="32"/>
      <c r="E21" s="33"/>
      <c r="F21" s="34"/>
      <c r="G21" s="32"/>
      <c r="H21" s="33"/>
      <c r="I21" s="29"/>
      <c r="J21" s="35"/>
      <c r="K21" s="36"/>
      <c r="L21" s="29"/>
      <c r="M21" s="29"/>
      <c r="N21" s="29"/>
    </row>
    <row r="22" spans="1:14">
      <c r="A22" s="37"/>
      <c r="B22" s="29"/>
      <c r="C22" s="29" t="s">
        <v>20</v>
      </c>
      <c r="D22" s="32"/>
      <c r="E22" s="33">
        <v>54000</v>
      </c>
      <c r="F22" s="34"/>
      <c r="G22" s="32"/>
      <c r="H22" s="33">
        <v>54000</v>
      </c>
      <c r="I22" s="29"/>
      <c r="J22" s="35"/>
      <c r="K22" s="36"/>
      <c r="L22" s="29"/>
      <c r="M22" s="29"/>
      <c r="N22" s="29"/>
    </row>
    <row r="23" spans="1:14">
      <c r="A23" s="37"/>
      <c r="B23" s="29"/>
      <c r="C23" s="29" t="s">
        <v>21</v>
      </c>
      <c r="D23" s="32"/>
      <c r="E23" s="33">
        <f>-D15</f>
        <v>18000</v>
      </c>
      <c r="F23" s="34"/>
      <c r="G23" s="32"/>
      <c r="H23" s="57">
        <f>-G15</f>
        <v>13500</v>
      </c>
      <c r="I23" s="29"/>
      <c r="J23" s="35" t="s">
        <v>22</v>
      </c>
      <c r="K23" s="42">
        <f>E23-H23</f>
        <v>4500</v>
      </c>
      <c r="L23" s="29"/>
      <c r="M23" s="29"/>
      <c r="N23" s="29"/>
    </row>
    <row r="24" spans="1:14">
      <c r="A24" s="37"/>
      <c r="B24" s="29" t="s">
        <v>23</v>
      </c>
      <c r="C24" s="29"/>
      <c r="D24" s="46"/>
      <c r="E24" s="47">
        <f>SUM(E22:E23)</f>
        <v>72000</v>
      </c>
      <c r="F24" s="34"/>
      <c r="G24" s="46"/>
      <c r="H24" s="47">
        <f>SUM(H22:H23)</f>
        <v>67500</v>
      </c>
      <c r="I24" s="29"/>
      <c r="J24" s="35"/>
      <c r="K24" s="42"/>
      <c r="L24" s="29"/>
      <c r="M24" s="29"/>
      <c r="N24" s="29"/>
    </row>
    <row r="25" spans="1:14">
      <c r="A25" s="37"/>
      <c r="B25" s="29"/>
      <c r="C25" s="56"/>
      <c r="D25" s="32"/>
      <c r="E25" s="33"/>
      <c r="F25" s="34"/>
      <c r="G25" s="32"/>
      <c r="H25" s="33"/>
      <c r="I25" s="29"/>
      <c r="J25" s="35"/>
      <c r="K25" s="36"/>
      <c r="L25" s="29"/>
      <c r="M25" s="29"/>
      <c r="N25" s="29"/>
    </row>
    <row r="26" spans="1:14">
      <c r="A26" s="37"/>
      <c r="B26" s="29" t="s">
        <v>24</v>
      </c>
      <c r="C26" s="56"/>
      <c r="D26" s="32"/>
      <c r="E26" s="33">
        <v>14000</v>
      </c>
      <c r="F26" s="34"/>
      <c r="G26" s="32"/>
      <c r="H26" s="33">
        <v>14000</v>
      </c>
      <c r="I26" s="29"/>
      <c r="J26" s="35"/>
      <c r="K26" s="36"/>
      <c r="L26" s="29"/>
      <c r="M26" s="29"/>
      <c r="N26" s="29"/>
    </row>
    <row r="27" spans="1:14">
      <c r="A27" s="37"/>
      <c r="B27" s="29" t="s">
        <v>25</v>
      </c>
      <c r="C27" s="56"/>
      <c r="D27" s="32"/>
      <c r="E27" s="33"/>
      <c r="F27" s="34"/>
      <c r="G27" s="32"/>
      <c r="H27" s="33"/>
      <c r="I27" s="29"/>
      <c r="J27" s="35"/>
      <c r="K27" s="36"/>
      <c r="L27" s="29"/>
      <c r="M27" s="29"/>
      <c r="N27" s="29"/>
    </row>
    <row r="28" spans="1:14">
      <c r="A28" s="37"/>
      <c r="B28" s="29"/>
      <c r="C28" s="29" t="s">
        <v>26</v>
      </c>
      <c r="D28" s="32"/>
      <c r="E28" s="33">
        <v>30000</v>
      </c>
      <c r="F28" s="34"/>
      <c r="G28" s="32"/>
      <c r="H28" s="33">
        <v>30000</v>
      </c>
      <c r="I28" s="29"/>
      <c r="J28" s="35"/>
      <c r="K28" s="36"/>
      <c r="L28" s="29"/>
      <c r="M28" s="29"/>
      <c r="N28" s="29"/>
    </row>
    <row r="29" spans="1:14">
      <c r="A29" s="37"/>
      <c r="B29" s="29"/>
      <c r="C29" s="29" t="s">
        <v>27</v>
      </c>
      <c r="D29" s="32"/>
      <c r="E29" s="33">
        <f>E19</f>
        <v>28000</v>
      </c>
      <c r="F29" s="34"/>
      <c r="G29" s="32"/>
      <c r="H29" s="57">
        <f>H19</f>
        <v>23500</v>
      </c>
      <c r="I29" s="29"/>
      <c r="J29" s="35" t="s">
        <v>28</v>
      </c>
      <c r="K29" s="42">
        <f>E29-H29</f>
        <v>4500</v>
      </c>
      <c r="L29" s="29"/>
      <c r="M29" s="29"/>
      <c r="N29" s="29"/>
    </row>
    <row r="30" spans="1:14">
      <c r="A30" s="37"/>
      <c r="B30" s="29"/>
      <c r="C30" s="29" t="s">
        <v>29</v>
      </c>
      <c r="D30" s="32"/>
      <c r="E30" s="47">
        <f>SUM(E28:E29)</f>
        <v>58000</v>
      </c>
      <c r="F30" s="34"/>
      <c r="G30" s="32"/>
      <c r="H30" s="47">
        <f>SUM(H28:H29)</f>
        <v>53500</v>
      </c>
      <c r="I30" s="29"/>
      <c r="J30" s="35"/>
      <c r="K30" s="36"/>
      <c r="L30" s="29"/>
      <c r="M30" s="29"/>
      <c r="N30" s="29"/>
    </row>
    <row r="31" spans="1:14">
      <c r="A31" s="43"/>
      <c r="B31" s="44" t="s">
        <v>30</v>
      </c>
      <c r="C31" s="58"/>
      <c r="D31" s="46"/>
      <c r="E31" s="47">
        <f>E26+E30</f>
        <v>72000</v>
      </c>
      <c r="F31" s="34"/>
      <c r="G31" s="46"/>
      <c r="H31" s="47">
        <f>H26+H30</f>
        <v>67500</v>
      </c>
      <c r="I31" s="29"/>
      <c r="J31" s="48"/>
      <c r="K31" s="59"/>
      <c r="L31" s="29"/>
      <c r="M31" s="29"/>
      <c r="N31" s="29"/>
    </row>
    <row r="32" spans="1:14">
      <c r="A32" s="29"/>
      <c r="B32" s="29"/>
      <c r="C32" s="56"/>
      <c r="D32" s="34"/>
      <c r="E32" s="34"/>
      <c r="F32" s="34"/>
      <c r="G32" s="34"/>
      <c r="H32" s="34"/>
      <c r="I32" s="29"/>
      <c r="J32" s="29"/>
      <c r="K32" s="29"/>
      <c r="L32" s="29"/>
      <c r="M32" s="29"/>
      <c r="N32" s="29"/>
    </row>
    <row r="33" spans="1:17" s="19" customFormat="1" ht="33" customHeight="1">
      <c r="A33" s="81" t="s">
        <v>31</v>
      </c>
      <c r="B33" s="81"/>
      <c r="C33" s="81"/>
      <c r="D33" s="81"/>
      <c r="E33" s="81"/>
      <c r="F33" s="81"/>
      <c r="G33" s="81"/>
      <c r="H33" s="81"/>
      <c r="I33" s="81"/>
      <c r="J33" s="81"/>
      <c r="K33" s="81"/>
      <c r="L33" s="81"/>
      <c r="M33" s="81"/>
      <c r="N33" s="81"/>
    </row>
    <row r="34" spans="1:17">
      <c r="A34" s="60"/>
      <c r="B34" s="29"/>
      <c r="C34" s="56"/>
      <c r="D34" s="34"/>
      <c r="E34" s="34"/>
      <c r="F34" s="34"/>
      <c r="G34" s="34"/>
      <c r="H34" s="34"/>
      <c r="I34" s="29"/>
      <c r="J34" s="29"/>
      <c r="K34" s="29"/>
      <c r="L34" s="29"/>
      <c r="M34" s="29"/>
      <c r="N34" s="29"/>
    </row>
    <row r="35" spans="1:17">
      <c r="A35" s="29"/>
      <c r="B35" s="29"/>
      <c r="C35" s="56"/>
      <c r="D35" s="88">
        <f>D8</f>
        <v>2024</v>
      </c>
      <c r="E35" s="88"/>
      <c r="F35" s="88"/>
      <c r="G35" s="88"/>
      <c r="H35" s="88"/>
      <c r="I35" s="61"/>
      <c r="J35" s="89">
        <f>D35+1</f>
        <v>2025</v>
      </c>
      <c r="K35" s="89"/>
      <c r="L35" s="89"/>
      <c r="M35" s="89"/>
      <c r="N35" s="89"/>
    </row>
    <row r="36" spans="1:17">
      <c r="A36" s="25"/>
      <c r="B36" s="26"/>
      <c r="C36" s="27"/>
      <c r="D36" s="84" t="s">
        <v>3</v>
      </c>
      <c r="E36" s="85"/>
      <c r="F36" s="28"/>
      <c r="G36" s="84" t="s">
        <v>4</v>
      </c>
      <c r="H36" s="85"/>
      <c r="I36" s="29"/>
      <c r="J36" s="84" t="s">
        <v>3</v>
      </c>
      <c r="K36" s="85"/>
      <c r="L36" s="28"/>
      <c r="M36" s="84" t="s">
        <v>4</v>
      </c>
      <c r="N36" s="85"/>
      <c r="P36" s="94" t="s">
        <v>5</v>
      </c>
      <c r="Q36" s="95"/>
    </row>
    <row r="37" spans="1:17">
      <c r="A37" s="30" t="s">
        <v>6</v>
      </c>
      <c r="B37" s="29"/>
      <c r="C37" s="31"/>
      <c r="D37" s="32"/>
      <c r="E37" s="33"/>
      <c r="F37" s="34"/>
      <c r="G37" s="32"/>
      <c r="H37" s="33"/>
      <c r="I37" s="29"/>
      <c r="J37" s="32"/>
      <c r="K37" s="33"/>
      <c r="L37" s="34"/>
      <c r="M37" s="32"/>
      <c r="N37" s="33"/>
      <c r="P37" s="5"/>
      <c r="Q37" s="6"/>
    </row>
    <row r="38" spans="1:17">
      <c r="A38" s="37"/>
      <c r="B38" s="29" t="s">
        <v>7</v>
      </c>
      <c r="C38" s="31"/>
      <c r="D38" s="32"/>
      <c r="E38" s="33">
        <v>100000</v>
      </c>
      <c r="F38" s="34"/>
      <c r="G38" s="32"/>
      <c r="H38" s="33">
        <v>100000</v>
      </c>
      <c r="I38" s="29"/>
      <c r="J38" s="32"/>
      <c r="K38" s="33">
        <v>150000</v>
      </c>
      <c r="L38" s="34"/>
      <c r="M38" s="32"/>
      <c r="N38" s="33">
        <f>K38</f>
        <v>150000</v>
      </c>
      <c r="P38" s="5"/>
      <c r="Q38" s="6"/>
    </row>
    <row r="39" spans="1:17">
      <c r="A39" s="37"/>
      <c r="B39" s="29" t="s">
        <v>8</v>
      </c>
      <c r="C39" s="31"/>
      <c r="D39" s="32"/>
      <c r="E39" s="33"/>
      <c r="F39" s="34"/>
      <c r="G39" s="38"/>
      <c r="H39" s="33"/>
      <c r="I39" s="29"/>
      <c r="J39" s="32"/>
      <c r="K39" s="33"/>
      <c r="L39" s="34"/>
      <c r="M39" s="38"/>
      <c r="N39" s="33"/>
      <c r="P39" s="5"/>
      <c r="Q39" s="6"/>
    </row>
    <row r="40" spans="1:17" ht="16.2">
      <c r="A40" s="37"/>
      <c r="B40" s="29"/>
      <c r="C40" s="31" t="s">
        <v>9</v>
      </c>
      <c r="D40" s="38">
        <v>20000</v>
      </c>
      <c r="E40" s="33"/>
      <c r="F40" s="34"/>
      <c r="G40" s="38">
        <f>D40</f>
        <v>20000</v>
      </c>
      <c r="H40" s="33"/>
      <c r="I40" s="29"/>
      <c r="J40" s="62">
        <f>-D42</f>
        <v>18000</v>
      </c>
      <c r="K40" s="63"/>
      <c r="L40" s="64"/>
      <c r="M40" s="65">
        <f>-G42</f>
        <v>13500</v>
      </c>
      <c r="N40" s="33"/>
      <c r="P40" s="5"/>
      <c r="Q40" s="6"/>
    </row>
    <row r="41" spans="1:17">
      <c r="A41" s="37"/>
      <c r="B41" s="29"/>
      <c r="C41" s="31" t="s">
        <v>10</v>
      </c>
      <c r="D41" s="38">
        <v>35000</v>
      </c>
      <c r="E41" s="33"/>
      <c r="F41" s="34"/>
      <c r="G41" s="38">
        <f>D41</f>
        <v>35000</v>
      </c>
      <c r="H41" s="33"/>
      <c r="I41" s="29"/>
      <c r="J41" s="38">
        <v>48000</v>
      </c>
      <c r="K41" s="33"/>
      <c r="L41" s="34"/>
      <c r="M41" s="38">
        <f>J41</f>
        <v>48000</v>
      </c>
      <c r="N41" s="33"/>
      <c r="P41" s="5"/>
      <c r="Q41" s="6"/>
    </row>
    <row r="42" spans="1:17" ht="16.2">
      <c r="A42" s="37"/>
      <c r="B42" s="29"/>
      <c r="C42" s="66" t="s">
        <v>11</v>
      </c>
      <c r="D42" s="67">
        <v>-18000</v>
      </c>
      <c r="E42" s="68"/>
      <c r="F42" s="69"/>
      <c r="G42" s="70">
        <f>-(18000-4500)</f>
        <v>-13500</v>
      </c>
      <c r="H42" s="39"/>
      <c r="I42" s="29"/>
      <c r="J42" s="67">
        <v>-23000</v>
      </c>
      <c r="K42" s="39"/>
      <c r="L42" s="40"/>
      <c r="M42" s="24">
        <f>J42</f>
        <v>-23000</v>
      </c>
      <c r="N42" s="39"/>
      <c r="P42" s="5"/>
      <c r="Q42" s="6"/>
    </row>
    <row r="43" spans="1:17">
      <c r="A43" s="37"/>
      <c r="B43" s="29"/>
      <c r="C43" s="31" t="s">
        <v>12</v>
      </c>
      <c r="D43" s="38">
        <f>SUM(D40:D42)</f>
        <v>37000</v>
      </c>
      <c r="E43" s="33">
        <f>-D43</f>
        <v>-37000</v>
      </c>
      <c r="F43" s="34"/>
      <c r="G43" s="38">
        <f>SUM(G40:G42)</f>
        <v>41500</v>
      </c>
      <c r="H43" s="33">
        <f>-G43</f>
        <v>-41500</v>
      </c>
      <c r="I43" s="29" t="s">
        <v>13</v>
      </c>
      <c r="J43" s="38">
        <f>SUM(J40:J42)</f>
        <v>43000</v>
      </c>
      <c r="K43" s="33">
        <f>-J43</f>
        <v>-43000</v>
      </c>
      <c r="L43" s="34"/>
      <c r="M43" s="38">
        <f>SUM(M40:M42)</f>
        <v>38500</v>
      </c>
      <c r="N43" s="33">
        <f>-M43</f>
        <v>-38500</v>
      </c>
      <c r="P43" s="5" t="s">
        <v>32</v>
      </c>
      <c r="Q43" s="7">
        <f>J43-M43</f>
        <v>4500</v>
      </c>
    </row>
    <row r="44" spans="1:17">
      <c r="A44" s="37"/>
      <c r="B44" s="29"/>
      <c r="C44" s="31"/>
      <c r="D44" s="32"/>
      <c r="E44" s="33"/>
      <c r="F44" s="34"/>
      <c r="G44" s="32"/>
      <c r="H44" s="33"/>
      <c r="I44" s="29"/>
      <c r="J44" s="32"/>
      <c r="K44" s="33"/>
      <c r="L44" s="34"/>
      <c r="M44" s="32"/>
      <c r="N44" s="33"/>
      <c r="P44" s="5"/>
      <c r="Q44" s="6"/>
    </row>
    <row r="45" spans="1:17">
      <c r="A45" s="37"/>
      <c r="B45" s="29" t="s">
        <v>15</v>
      </c>
      <c r="C45" s="31"/>
      <c r="D45" s="32"/>
      <c r="E45" s="33">
        <v>-35000</v>
      </c>
      <c r="F45" s="34"/>
      <c r="G45" s="32"/>
      <c r="H45" s="33">
        <f>E45</f>
        <v>-35000</v>
      </c>
      <c r="I45" s="29"/>
      <c r="J45" s="32"/>
      <c r="K45" s="33">
        <v>-60000</v>
      </c>
      <c r="L45" s="34"/>
      <c r="M45" s="32"/>
      <c r="N45" s="33">
        <f>K45</f>
        <v>-60000</v>
      </c>
      <c r="P45" s="5"/>
      <c r="Q45" s="6"/>
    </row>
    <row r="46" spans="1:17">
      <c r="A46" s="43"/>
      <c r="B46" s="44" t="s">
        <v>16</v>
      </c>
      <c r="C46" s="45"/>
      <c r="D46" s="46"/>
      <c r="E46" s="47">
        <f>SUM(E38:E45)</f>
        <v>28000</v>
      </c>
      <c r="F46" s="34"/>
      <c r="G46" s="46"/>
      <c r="H46" s="47">
        <f>SUM(H38:H45)</f>
        <v>23500</v>
      </c>
      <c r="I46" s="29"/>
      <c r="J46" s="46"/>
      <c r="K46" s="47">
        <f>SUM(K38:K45)</f>
        <v>47000</v>
      </c>
      <c r="L46" s="34"/>
      <c r="M46" s="46"/>
      <c r="N46" s="47">
        <f>SUM(N38:N45)</f>
        <v>51500</v>
      </c>
      <c r="P46" s="8" t="s">
        <v>33</v>
      </c>
      <c r="Q46" s="9">
        <f>N46-K46</f>
        <v>4500</v>
      </c>
    </row>
    <row r="47" spans="1:17">
      <c r="A47" s="50" t="s">
        <v>18</v>
      </c>
      <c r="B47" s="26"/>
      <c r="C47" s="51"/>
      <c r="D47" s="52"/>
      <c r="E47" s="53"/>
      <c r="F47" s="34"/>
      <c r="G47" s="52"/>
      <c r="H47" s="53"/>
      <c r="I47" s="29"/>
      <c r="J47" s="52"/>
      <c r="K47" s="53"/>
      <c r="L47" s="34"/>
      <c r="M47" s="52"/>
      <c r="N47" s="53"/>
      <c r="P47" s="10"/>
      <c r="Q47" s="11"/>
    </row>
    <row r="48" spans="1:17">
      <c r="A48" s="37"/>
      <c r="B48" s="29" t="s">
        <v>19</v>
      </c>
      <c r="C48" s="56"/>
      <c r="D48" s="32"/>
      <c r="E48" s="33"/>
      <c r="F48" s="34"/>
      <c r="G48" s="32"/>
      <c r="H48" s="33"/>
      <c r="I48" s="29"/>
      <c r="J48" s="32"/>
      <c r="K48" s="33"/>
      <c r="L48" s="34"/>
      <c r="M48" s="32"/>
      <c r="N48" s="33"/>
      <c r="P48" s="5"/>
      <c r="Q48" s="6"/>
    </row>
    <row r="49" spans="1:17">
      <c r="A49" s="37"/>
      <c r="B49" s="29"/>
      <c r="C49" s="29" t="s">
        <v>20</v>
      </c>
      <c r="D49" s="32"/>
      <c r="E49" s="33">
        <v>54000</v>
      </c>
      <c r="F49" s="34"/>
      <c r="G49" s="32"/>
      <c r="H49" s="33">
        <v>54000</v>
      </c>
      <c r="I49" s="29"/>
      <c r="J49" s="32"/>
      <c r="K49" s="33">
        <v>96000</v>
      </c>
      <c r="L49" s="34"/>
      <c r="M49" s="32"/>
      <c r="N49" s="33">
        <f>K49</f>
        <v>96000</v>
      </c>
      <c r="P49" s="5"/>
      <c r="Q49" s="6"/>
    </row>
    <row r="50" spans="1:17">
      <c r="A50" s="37"/>
      <c r="B50" s="29"/>
      <c r="C50" s="29" t="s">
        <v>21</v>
      </c>
      <c r="D50" s="32"/>
      <c r="E50" s="33">
        <f>-D42</f>
        <v>18000</v>
      </c>
      <c r="F50" s="34"/>
      <c r="G50" s="32"/>
      <c r="H50" s="57">
        <f>-G42</f>
        <v>13500</v>
      </c>
      <c r="I50" s="29"/>
      <c r="J50" s="32"/>
      <c r="K50" s="33">
        <f>-J42</f>
        <v>23000</v>
      </c>
      <c r="L50" s="34"/>
      <c r="M50" s="32"/>
      <c r="N50" s="71">
        <f>-M42</f>
        <v>23000</v>
      </c>
      <c r="P50" s="5"/>
      <c r="Q50" s="7"/>
    </row>
    <row r="51" spans="1:17">
      <c r="A51" s="37"/>
      <c r="B51" s="29" t="s">
        <v>23</v>
      </c>
      <c r="C51" s="29"/>
      <c r="D51" s="46"/>
      <c r="E51" s="47">
        <f>SUM(E49:E50)</f>
        <v>72000</v>
      </c>
      <c r="F51" s="34"/>
      <c r="G51" s="46"/>
      <c r="H51" s="47">
        <f>SUM(H49:H50)</f>
        <v>67500</v>
      </c>
      <c r="I51" s="29"/>
      <c r="J51" s="46"/>
      <c r="K51" s="47">
        <f>SUM(K49:K50)</f>
        <v>119000</v>
      </c>
      <c r="L51" s="34"/>
      <c r="M51" s="46"/>
      <c r="N51" s="47">
        <f>SUM(N49:N50)</f>
        <v>119000</v>
      </c>
      <c r="P51" s="5"/>
      <c r="Q51" s="7"/>
    </row>
    <row r="52" spans="1:17">
      <c r="A52" s="37"/>
      <c r="B52" s="29"/>
      <c r="C52" s="56"/>
      <c r="D52" s="32"/>
      <c r="E52" s="33"/>
      <c r="F52" s="34"/>
      <c r="G52" s="32"/>
      <c r="H52" s="33"/>
      <c r="I52" s="29"/>
      <c r="J52" s="32"/>
      <c r="K52" s="33"/>
      <c r="L52" s="34"/>
      <c r="M52" s="32"/>
      <c r="N52" s="33"/>
      <c r="P52" s="5"/>
      <c r="Q52" s="6"/>
    </row>
    <row r="53" spans="1:17">
      <c r="A53" s="37"/>
      <c r="B53" s="29" t="s">
        <v>24</v>
      </c>
      <c r="C53" s="56"/>
      <c r="D53" s="32"/>
      <c r="E53" s="33">
        <v>14000</v>
      </c>
      <c r="F53" s="34"/>
      <c r="G53" s="32"/>
      <c r="H53" s="33">
        <v>14000</v>
      </c>
      <c r="I53" s="29"/>
      <c r="J53" s="32"/>
      <c r="K53" s="33">
        <v>14000</v>
      </c>
      <c r="L53" s="34"/>
      <c r="M53" s="32"/>
      <c r="N53" s="33">
        <v>14000</v>
      </c>
      <c r="P53" s="5"/>
      <c r="Q53" s="6"/>
    </row>
    <row r="54" spans="1:17">
      <c r="A54" s="37"/>
      <c r="B54" s="29" t="s">
        <v>25</v>
      </c>
      <c r="C54" s="56"/>
      <c r="D54" s="32"/>
      <c r="E54" s="33"/>
      <c r="F54" s="34"/>
      <c r="G54" s="32"/>
      <c r="H54" s="33"/>
      <c r="I54" s="29"/>
      <c r="J54" s="32"/>
      <c r="K54" s="33"/>
      <c r="L54" s="34"/>
      <c r="M54" s="32"/>
      <c r="N54" s="33"/>
      <c r="P54" s="90" t="s">
        <v>34</v>
      </c>
      <c r="Q54" s="91"/>
    </row>
    <row r="55" spans="1:17">
      <c r="A55" s="37"/>
      <c r="B55" s="29"/>
      <c r="C55" s="29" t="s">
        <v>26</v>
      </c>
      <c r="D55" s="32"/>
      <c r="E55" s="33">
        <v>30000</v>
      </c>
      <c r="F55" s="34"/>
      <c r="G55" s="32"/>
      <c r="H55" s="33">
        <v>30000</v>
      </c>
      <c r="I55" s="29"/>
      <c r="J55" s="32"/>
      <c r="K55" s="33">
        <v>30000</v>
      </c>
      <c r="L55" s="34"/>
      <c r="M55" s="32"/>
      <c r="N55" s="33">
        <v>30000</v>
      </c>
      <c r="P55" s="90"/>
      <c r="Q55" s="91"/>
    </row>
    <row r="56" spans="1:17" ht="15.6" customHeight="1">
      <c r="A56" s="37"/>
      <c r="B56" s="29"/>
      <c r="C56" s="29" t="s">
        <v>27</v>
      </c>
      <c r="D56" s="32"/>
      <c r="E56" s="33">
        <f>E46</f>
        <v>28000</v>
      </c>
      <c r="F56" s="34"/>
      <c r="G56" s="32"/>
      <c r="H56" s="57">
        <f>H46</f>
        <v>23500</v>
      </c>
      <c r="I56" s="29"/>
      <c r="J56" s="75" t="s">
        <v>35</v>
      </c>
      <c r="K56" s="71">
        <f>E56+K46</f>
        <v>75000</v>
      </c>
      <c r="L56" s="34"/>
      <c r="M56" s="72" t="s">
        <v>36</v>
      </c>
      <c r="N56" s="73">
        <f>H56+N46</f>
        <v>75000</v>
      </c>
      <c r="P56" s="90"/>
      <c r="Q56" s="91"/>
    </row>
    <row r="57" spans="1:17">
      <c r="A57" s="37"/>
      <c r="B57" s="29"/>
      <c r="C57" s="29" t="s">
        <v>29</v>
      </c>
      <c r="D57" s="32"/>
      <c r="E57" s="47">
        <f>SUM(E55:E56)</f>
        <v>58000</v>
      </c>
      <c r="F57" s="34"/>
      <c r="G57" s="32"/>
      <c r="H57" s="47">
        <f>SUM(H55:H56)</f>
        <v>53500</v>
      </c>
      <c r="I57" s="29"/>
      <c r="J57" s="32"/>
      <c r="K57" s="47">
        <f>SUM(K55:K56)</f>
        <v>105000</v>
      </c>
      <c r="L57" s="34"/>
      <c r="M57" s="32"/>
      <c r="N57" s="47">
        <f>SUM(N55:N56)</f>
        <v>105000</v>
      </c>
      <c r="P57" s="90"/>
      <c r="Q57" s="91"/>
    </row>
    <row r="58" spans="1:17">
      <c r="A58" s="43"/>
      <c r="B58" s="44" t="s">
        <v>30</v>
      </c>
      <c r="C58" s="58"/>
      <c r="D58" s="46"/>
      <c r="E58" s="47">
        <f>E53+E57</f>
        <v>72000</v>
      </c>
      <c r="F58" s="34"/>
      <c r="G58" s="46"/>
      <c r="H58" s="47">
        <f>H53+H57</f>
        <v>67500</v>
      </c>
      <c r="I58" s="29"/>
      <c r="J58" s="46"/>
      <c r="K58" s="47">
        <f>K53+K57</f>
        <v>119000</v>
      </c>
      <c r="L58" s="34"/>
      <c r="M58" s="46"/>
      <c r="N58" s="47">
        <f>N53+N57</f>
        <v>119000</v>
      </c>
      <c r="P58" s="92"/>
      <c r="Q58" s="93"/>
    </row>
    <row r="59" spans="1:17">
      <c r="A59" s="29"/>
      <c r="B59" s="29"/>
      <c r="C59" s="56"/>
      <c r="D59" s="34"/>
      <c r="E59" s="34"/>
      <c r="F59" s="34"/>
      <c r="G59" s="34"/>
      <c r="H59" s="34"/>
      <c r="I59" s="29"/>
      <c r="J59" s="29"/>
      <c r="K59" s="29"/>
      <c r="L59" s="29"/>
      <c r="M59" s="29"/>
      <c r="N59" s="29"/>
    </row>
    <row r="60" spans="1:17">
      <c r="A60" s="29"/>
      <c r="B60" s="29"/>
      <c r="C60" s="56"/>
      <c r="D60" s="34"/>
      <c r="E60" s="34"/>
      <c r="F60" s="34"/>
      <c r="G60" s="34"/>
      <c r="H60" s="34"/>
      <c r="I60" s="29"/>
      <c r="J60" s="29"/>
      <c r="K60" s="29"/>
      <c r="L60" s="29"/>
      <c r="M60" s="29"/>
      <c r="N60" s="29"/>
    </row>
    <row r="61" spans="1:17" s="80" customFormat="1" ht="37.200000000000003" customHeight="1">
      <c r="A61" s="96" t="s">
        <v>37</v>
      </c>
      <c r="B61" s="96"/>
      <c r="C61" s="96"/>
      <c r="D61" s="96"/>
      <c r="E61" s="96"/>
      <c r="F61" s="96"/>
      <c r="G61" s="96"/>
      <c r="H61" s="96"/>
      <c r="I61" s="96"/>
      <c r="J61" s="96"/>
      <c r="K61" s="96"/>
      <c r="L61" s="96"/>
      <c r="M61" s="96"/>
      <c r="N61" s="96"/>
    </row>
    <row r="62" spans="1:17">
      <c r="A62" s="60"/>
      <c r="B62" s="29"/>
      <c r="C62" s="56"/>
      <c r="D62" s="34"/>
      <c r="E62" s="34"/>
      <c r="F62" s="34"/>
      <c r="G62" s="34"/>
      <c r="H62" s="34"/>
      <c r="I62" s="29"/>
      <c r="J62" s="29"/>
      <c r="K62" s="29"/>
      <c r="L62" s="29"/>
      <c r="M62" s="29"/>
      <c r="N62" s="29"/>
    </row>
    <row r="63" spans="1:17">
      <c r="A63" s="29"/>
      <c r="B63" s="29"/>
      <c r="C63" s="56"/>
      <c r="D63" s="88">
        <f>D35</f>
        <v>2024</v>
      </c>
      <c r="E63" s="88"/>
      <c r="F63" s="88"/>
      <c r="G63" s="88"/>
      <c r="H63" s="88"/>
      <c r="I63" s="61"/>
      <c r="J63" s="89">
        <f>J35</f>
        <v>2025</v>
      </c>
      <c r="K63" s="89"/>
      <c r="L63" s="89"/>
      <c r="M63" s="89"/>
      <c r="N63" s="89"/>
    </row>
    <row r="64" spans="1:17">
      <c r="A64" s="25"/>
      <c r="B64" s="26"/>
      <c r="C64" s="27"/>
      <c r="D64" s="84" t="s">
        <v>3</v>
      </c>
      <c r="E64" s="85"/>
      <c r="F64" s="28"/>
      <c r="G64" s="84" t="s">
        <v>4</v>
      </c>
      <c r="H64" s="85"/>
      <c r="I64" s="29"/>
      <c r="J64" s="84" t="s">
        <v>3</v>
      </c>
      <c r="K64" s="85"/>
      <c r="L64" s="28"/>
      <c r="M64" s="84" t="s">
        <v>4</v>
      </c>
      <c r="N64" s="85"/>
      <c r="P64" s="94" t="s">
        <v>5</v>
      </c>
      <c r="Q64" s="95"/>
    </row>
    <row r="65" spans="1:17">
      <c r="A65" s="30" t="s">
        <v>6</v>
      </c>
      <c r="B65" s="29"/>
      <c r="C65" s="31"/>
      <c r="D65" s="32"/>
      <c r="E65" s="33"/>
      <c r="F65" s="34"/>
      <c r="G65" s="32"/>
      <c r="H65" s="33"/>
      <c r="I65" s="29"/>
      <c r="J65" s="32"/>
      <c r="K65" s="33"/>
      <c r="L65" s="34"/>
      <c r="M65" s="32"/>
      <c r="N65" s="33"/>
      <c r="P65" s="5"/>
      <c r="Q65" s="6"/>
    </row>
    <row r="66" spans="1:17">
      <c r="A66" s="37"/>
      <c r="B66" s="29" t="s">
        <v>7</v>
      </c>
      <c r="C66" s="31"/>
      <c r="D66" s="32"/>
      <c r="E66" s="33">
        <v>100000</v>
      </c>
      <c r="F66" s="34"/>
      <c r="G66" s="32"/>
      <c r="H66" s="33">
        <v>100000</v>
      </c>
      <c r="I66" s="29"/>
      <c r="J66" s="32"/>
      <c r="K66" s="33">
        <v>150000</v>
      </c>
      <c r="L66" s="34"/>
      <c r="M66" s="32"/>
      <c r="N66" s="33">
        <f>K66</f>
        <v>150000</v>
      </c>
      <c r="P66" s="5"/>
      <c r="Q66" s="6"/>
    </row>
    <row r="67" spans="1:17">
      <c r="A67" s="37"/>
      <c r="B67" s="29" t="s">
        <v>8</v>
      </c>
      <c r="C67" s="31"/>
      <c r="D67" s="32"/>
      <c r="E67" s="33"/>
      <c r="F67" s="34"/>
      <c r="G67" s="38"/>
      <c r="H67" s="33"/>
      <c r="I67" s="29"/>
      <c r="J67" s="32"/>
      <c r="K67" s="33"/>
      <c r="L67" s="34"/>
      <c r="M67" s="38"/>
      <c r="N67" s="33"/>
      <c r="P67" s="5"/>
      <c r="Q67" s="6"/>
    </row>
    <row r="68" spans="1:17" ht="16.2">
      <c r="A68" s="37"/>
      <c r="B68" s="29"/>
      <c r="C68" s="31" t="s">
        <v>9</v>
      </c>
      <c r="D68" s="38">
        <v>20000</v>
      </c>
      <c r="E68" s="33"/>
      <c r="F68" s="34"/>
      <c r="G68" s="38">
        <f>D68</f>
        <v>20000</v>
      </c>
      <c r="H68" s="33"/>
      <c r="I68" s="29"/>
      <c r="J68" s="62">
        <f>-D70</f>
        <v>18000</v>
      </c>
      <c r="K68" s="63"/>
      <c r="L68" s="64"/>
      <c r="M68" s="76">
        <f>-G70</f>
        <v>13500</v>
      </c>
      <c r="N68" s="33"/>
      <c r="P68" s="5" t="s">
        <v>32</v>
      </c>
      <c r="Q68" s="7">
        <f>J68-M68</f>
        <v>4500</v>
      </c>
    </row>
    <row r="69" spans="1:17">
      <c r="A69" s="37"/>
      <c r="B69" s="29"/>
      <c r="C69" s="31" t="s">
        <v>10</v>
      </c>
      <c r="D69" s="38">
        <v>35000</v>
      </c>
      <c r="E69" s="33"/>
      <c r="F69" s="34"/>
      <c r="G69" s="38">
        <f>D69</f>
        <v>35000</v>
      </c>
      <c r="H69" s="33"/>
      <c r="I69" s="29"/>
      <c r="J69" s="38">
        <v>48000</v>
      </c>
      <c r="K69" s="33"/>
      <c r="L69" s="34"/>
      <c r="M69" s="38">
        <f>J69</f>
        <v>48000</v>
      </c>
      <c r="N69" s="33"/>
      <c r="P69" s="5"/>
      <c r="Q69" s="6"/>
    </row>
    <row r="70" spans="1:17" ht="16.2">
      <c r="A70" s="37"/>
      <c r="B70" s="29"/>
      <c r="C70" s="66" t="s">
        <v>11</v>
      </c>
      <c r="D70" s="67">
        <v>-18000</v>
      </c>
      <c r="E70" s="68"/>
      <c r="F70" s="69"/>
      <c r="G70" s="70">
        <f>-(18000-4500)</f>
        <v>-13500</v>
      </c>
      <c r="H70" s="39"/>
      <c r="I70" s="29"/>
      <c r="J70" s="74">
        <v>-23000</v>
      </c>
      <c r="K70" s="39"/>
      <c r="L70" s="40"/>
      <c r="M70" s="77">
        <f>-(23000+2300)</f>
        <v>-25300</v>
      </c>
      <c r="N70" s="39"/>
      <c r="P70" s="8" t="s">
        <v>32</v>
      </c>
      <c r="Q70" s="9">
        <f>-M70+J70</f>
        <v>2300</v>
      </c>
    </row>
    <row r="71" spans="1:17">
      <c r="A71" s="37"/>
      <c r="B71" s="29"/>
      <c r="C71" s="31" t="s">
        <v>12</v>
      </c>
      <c r="D71" s="38">
        <f>SUM(D68:D70)</f>
        <v>37000</v>
      </c>
      <c r="E71" s="33">
        <f>-D71</f>
        <v>-37000</v>
      </c>
      <c r="F71" s="34"/>
      <c r="G71" s="38">
        <f>SUM(G68:G70)</f>
        <v>41500</v>
      </c>
      <c r="H71" s="33">
        <f>-G71</f>
        <v>-41500</v>
      </c>
      <c r="I71" s="29" t="s">
        <v>13</v>
      </c>
      <c r="J71" s="38">
        <f>SUM(J68:J70)</f>
        <v>43000</v>
      </c>
      <c r="K71" s="33">
        <f>-J71</f>
        <v>-43000</v>
      </c>
      <c r="L71" s="34"/>
      <c r="M71" s="38">
        <f>SUM(M68:M70)</f>
        <v>36200</v>
      </c>
      <c r="N71" s="33">
        <f>-M71</f>
        <v>-36200</v>
      </c>
      <c r="P71" s="5" t="s">
        <v>38</v>
      </c>
      <c r="Q71" s="7">
        <f>J71-M71</f>
        <v>6800</v>
      </c>
    </row>
    <row r="72" spans="1:17">
      <c r="A72" s="37"/>
      <c r="B72" s="29"/>
      <c r="C72" s="31"/>
      <c r="D72" s="32"/>
      <c r="E72" s="33"/>
      <c r="F72" s="34"/>
      <c r="G72" s="32"/>
      <c r="H72" s="33"/>
      <c r="I72" s="29"/>
      <c r="J72" s="32"/>
      <c r="K72" s="33"/>
      <c r="L72" s="34"/>
      <c r="M72" s="32"/>
      <c r="N72" s="33"/>
      <c r="P72" s="5"/>
      <c r="Q72" s="6"/>
    </row>
    <row r="73" spans="1:17">
      <c r="A73" s="37"/>
      <c r="B73" s="29" t="s">
        <v>15</v>
      </c>
      <c r="C73" s="31"/>
      <c r="D73" s="32"/>
      <c r="E73" s="33">
        <v>-35000</v>
      </c>
      <c r="F73" s="34"/>
      <c r="G73" s="32"/>
      <c r="H73" s="33">
        <f>E73</f>
        <v>-35000</v>
      </c>
      <c r="I73" s="29"/>
      <c r="J73" s="32"/>
      <c r="K73" s="33">
        <v>-60000</v>
      </c>
      <c r="L73" s="34"/>
      <c r="M73" s="32"/>
      <c r="N73" s="33">
        <f>K73</f>
        <v>-60000</v>
      </c>
      <c r="P73" s="5"/>
      <c r="Q73" s="6"/>
    </row>
    <row r="74" spans="1:17">
      <c r="A74" s="43"/>
      <c r="B74" s="44" t="s">
        <v>16</v>
      </c>
      <c r="C74" s="45"/>
      <c r="D74" s="46"/>
      <c r="E74" s="47">
        <f>SUM(E66:E73)</f>
        <v>28000</v>
      </c>
      <c r="F74" s="34"/>
      <c r="G74" s="46"/>
      <c r="H74" s="47">
        <f>SUM(H66:H73)</f>
        <v>23500</v>
      </c>
      <c r="I74" s="29"/>
      <c r="J74" s="46"/>
      <c r="K74" s="47">
        <f>SUM(K66:K73)</f>
        <v>47000</v>
      </c>
      <c r="L74" s="34"/>
      <c r="M74" s="46"/>
      <c r="N74" s="47">
        <f>SUM(N66:N73)</f>
        <v>53800</v>
      </c>
      <c r="P74" s="8" t="s">
        <v>33</v>
      </c>
      <c r="Q74" s="9">
        <f>N74-K74</f>
        <v>6800</v>
      </c>
    </row>
    <row r="75" spans="1:17">
      <c r="A75" s="50" t="s">
        <v>18</v>
      </c>
      <c r="B75" s="26"/>
      <c r="C75" s="51"/>
      <c r="D75" s="52"/>
      <c r="E75" s="53"/>
      <c r="F75" s="34"/>
      <c r="G75" s="52"/>
      <c r="H75" s="53"/>
      <c r="I75" s="29"/>
      <c r="J75" s="52"/>
      <c r="K75" s="53"/>
      <c r="L75" s="34"/>
      <c r="M75" s="52"/>
      <c r="N75" s="53"/>
      <c r="P75" s="10"/>
      <c r="Q75" s="11"/>
    </row>
    <row r="76" spans="1:17">
      <c r="A76" s="37"/>
      <c r="B76" s="29" t="s">
        <v>19</v>
      </c>
      <c r="C76" s="56"/>
      <c r="D76" s="32"/>
      <c r="E76" s="33"/>
      <c r="F76" s="34"/>
      <c r="G76" s="32"/>
      <c r="H76" s="33"/>
      <c r="I76" s="29"/>
      <c r="J76" s="32"/>
      <c r="K76" s="33"/>
      <c r="L76" s="34"/>
      <c r="M76" s="32"/>
      <c r="N76" s="33"/>
      <c r="P76" s="5"/>
      <c r="Q76" s="6"/>
    </row>
    <row r="77" spans="1:17">
      <c r="A77" s="37"/>
      <c r="B77" s="29"/>
      <c r="C77" s="29" t="s">
        <v>20</v>
      </c>
      <c r="D77" s="32"/>
      <c r="E77" s="33">
        <v>54000</v>
      </c>
      <c r="F77" s="34"/>
      <c r="G77" s="32"/>
      <c r="H77" s="33">
        <v>54000</v>
      </c>
      <c r="I77" s="29"/>
      <c r="J77" s="32"/>
      <c r="K77" s="33">
        <v>96000</v>
      </c>
      <c r="L77" s="34"/>
      <c r="M77" s="32"/>
      <c r="N77" s="33">
        <f>K77</f>
        <v>96000</v>
      </c>
      <c r="P77" s="5"/>
      <c r="Q77" s="6"/>
    </row>
    <row r="78" spans="1:17">
      <c r="A78" s="37"/>
      <c r="B78" s="29"/>
      <c r="C78" s="29" t="s">
        <v>21</v>
      </c>
      <c r="D78" s="32"/>
      <c r="E78" s="33">
        <f>-D70</f>
        <v>18000</v>
      </c>
      <c r="F78" s="34"/>
      <c r="G78" s="32"/>
      <c r="H78" s="57">
        <f>-G70</f>
        <v>13500</v>
      </c>
      <c r="I78" s="29"/>
      <c r="J78" s="32"/>
      <c r="K78" s="33">
        <f>-J70</f>
        <v>23000</v>
      </c>
      <c r="L78" s="34"/>
      <c r="M78" s="32"/>
      <c r="N78" s="78">
        <f>-M70</f>
        <v>25300</v>
      </c>
      <c r="P78" s="5" t="s">
        <v>39</v>
      </c>
      <c r="Q78" s="7">
        <f>N78-K78</f>
        <v>2300</v>
      </c>
    </row>
    <row r="79" spans="1:17">
      <c r="A79" s="37"/>
      <c r="B79" s="29" t="s">
        <v>23</v>
      </c>
      <c r="C79" s="29"/>
      <c r="D79" s="46"/>
      <c r="E79" s="47">
        <f>SUM(E77:E78)</f>
        <v>72000</v>
      </c>
      <c r="F79" s="34"/>
      <c r="G79" s="46"/>
      <c r="H79" s="47">
        <f>SUM(H77:H78)</f>
        <v>67500</v>
      </c>
      <c r="I79" s="29"/>
      <c r="J79" s="46"/>
      <c r="K79" s="47">
        <f>SUM(K77:K78)</f>
        <v>119000</v>
      </c>
      <c r="L79" s="34"/>
      <c r="M79" s="46"/>
      <c r="N79" s="47">
        <f>SUM(N77:N78)</f>
        <v>121300</v>
      </c>
      <c r="P79" s="5"/>
      <c r="Q79" s="7"/>
    </row>
    <row r="80" spans="1:17">
      <c r="A80" s="37"/>
      <c r="B80" s="29"/>
      <c r="C80" s="56"/>
      <c r="D80" s="32"/>
      <c r="E80" s="33"/>
      <c r="F80" s="34"/>
      <c r="G80" s="32"/>
      <c r="H80" s="33"/>
      <c r="I80" s="29"/>
      <c r="J80" s="32"/>
      <c r="K80" s="33"/>
      <c r="L80" s="34"/>
      <c r="M80" s="32"/>
      <c r="N80" s="33"/>
      <c r="P80" s="5"/>
      <c r="Q80" s="6"/>
    </row>
    <row r="81" spans="1:17">
      <c r="A81" s="37"/>
      <c r="B81" s="29" t="s">
        <v>24</v>
      </c>
      <c r="C81" s="56"/>
      <c r="D81" s="32"/>
      <c r="E81" s="33">
        <v>14000</v>
      </c>
      <c r="F81" s="34"/>
      <c r="G81" s="32"/>
      <c r="H81" s="33">
        <v>14000</v>
      </c>
      <c r="I81" s="29"/>
      <c r="J81" s="32"/>
      <c r="K81" s="33">
        <v>14000</v>
      </c>
      <c r="L81" s="34"/>
      <c r="M81" s="32"/>
      <c r="N81" s="33">
        <v>14000</v>
      </c>
      <c r="P81" s="5"/>
      <c r="Q81" s="6"/>
    </row>
    <row r="82" spans="1:17">
      <c r="A82" s="37"/>
      <c r="B82" s="29" t="s">
        <v>25</v>
      </c>
      <c r="C82" s="56"/>
      <c r="D82" s="32"/>
      <c r="E82" s="33"/>
      <c r="F82" s="34"/>
      <c r="G82" s="32"/>
      <c r="H82" s="33"/>
      <c r="I82" s="29"/>
      <c r="J82" s="32"/>
      <c r="K82" s="33"/>
      <c r="L82" s="34"/>
      <c r="M82" s="32"/>
      <c r="N82" s="33"/>
      <c r="P82" s="5"/>
      <c r="Q82" s="6"/>
    </row>
    <row r="83" spans="1:17">
      <c r="A83" s="37"/>
      <c r="B83" s="29"/>
      <c r="C83" s="29" t="s">
        <v>26</v>
      </c>
      <c r="D83" s="32"/>
      <c r="E83" s="33">
        <v>30000</v>
      </c>
      <c r="F83" s="34"/>
      <c r="G83" s="32"/>
      <c r="H83" s="33">
        <v>30000</v>
      </c>
      <c r="I83" s="29"/>
      <c r="J83" s="32"/>
      <c r="K83" s="33">
        <v>30000</v>
      </c>
      <c r="L83" s="34"/>
      <c r="M83" s="32"/>
      <c r="N83" s="33">
        <v>30000</v>
      </c>
      <c r="P83" s="12"/>
      <c r="Q83" s="13"/>
    </row>
    <row r="84" spans="1:17">
      <c r="A84" s="37"/>
      <c r="B84" s="29"/>
      <c r="C84" s="29" t="s">
        <v>27</v>
      </c>
      <c r="D84" s="32"/>
      <c r="E84" s="33">
        <f>E74</f>
        <v>28000</v>
      </c>
      <c r="F84" s="34"/>
      <c r="G84" s="32"/>
      <c r="H84" s="57">
        <f>H74</f>
        <v>23500</v>
      </c>
      <c r="I84" s="29"/>
      <c r="J84" s="75" t="s">
        <v>35</v>
      </c>
      <c r="K84" s="71">
        <f>E84+K74</f>
        <v>75000</v>
      </c>
      <c r="L84" s="34"/>
      <c r="M84" s="79" t="s">
        <v>40</v>
      </c>
      <c r="N84" s="78">
        <f>H84+N74</f>
        <v>77300</v>
      </c>
      <c r="P84" s="14" t="s">
        <v>41</v>
      </c>
      <c r="Q84" s="7">
        <f>N84-K84</f>
        <v>2300</v>
      </c>
    </row>
    <row r="85" spans="1:17" ht="15.6" customHeight="1">
      <c r="A85" s="37"/>
      <c r="B85" s="29"/>
      <c r="C85" s="29" t="s">
        <v>29</v>
      </c>
      <c r="D85" s="32"/>
      <c r="E85" s="47">
        <f>SUM(E83:E84)</f>
        <v>58000</v>
      </c>
      <c r="F85" s="34"/>
      <c r="G85" s="32"/>
      <c r="H85" s="47">
        <f>SUM(H83:H84)</f>
        <v>53500</v>
      </c>
      <c r="I85" s="29"/>
      <c r="J85" s="32"/>
      <c r="K85" s="47">
        <f>SUM(K83:K84)</f>
        <v>105000</v>
      </c>
      <c r="L85" s="34"/>
      <c r="M85" s="32"/>
      <c r="N85" s="47">
        <f>SUM(N83:N84)</f>
        <v>107300</v>
      </c>
      <c r="P85" s="90" t="s">
        <v>42</v>
      </c>
      <c r="Q85" s="91"/>
    </row>
    <row r="86" spans="1:17">
      <c r="A86" s="43"/>
      <c r="B86" s="44" t="s">
        <v>30</v>
      </c>
      <c r="C86" s="58"/>
      <c r="D86" s="46"/>
      <c r="E86" s="47">
        <f>E81+E85</f>
        <v>72000</v>
      </c>
      <c r="F86" s="34"/>
      <c r="G86" s="46"/>
      <c r="H86" s="47">
        <f>H81+H85</f>
        <v>67500</v>
      </c>
      <c r="I86" s="29"/>
      <c r="J86" s="46"/>
      <c r="K86" s="47">
        <f>K81+K85</f>
        <v>119000</v>
      </c>
      <c r="L86" s="34"/>
      <c r="M86" s="46"/>
      <c r="N86" s="47">
        <f>N81+N85</f>
        <v>121300</v>
      </c>
      <c r="P86" s="90"/>
      <c r="Q86" s="91"/>
    </row>
    <row r="87" spans="1:17">
      <c r="A87" s="29"/>
      <c r="B87" s="29"/>
      <c r="C87" s="56"/>
      <c r="D87" s="34"/>
      <c r="E87" s="34"/>
      <c r="F87" s="34"/>
      <c r="G87" s="34"/>
      <c r="H87" s="34"/>
      <c r="I87" s="29"/>
      <c r="J87" s="29"/>
      <c r="K87" s="29"/>
      <c r="L87" s="29"/>
      <c r="M87" s="29"/>
      <c r="N87" s="29"/>
      <c r="P87" s="90"/>
      <c r="Q87" s="91"/>
    </row>
    <row r="88" spans="1:17">
      <c r="A88" s="29"/>
      <c r="B88" s="29"/>
      <c r="C88" s="56"/>
      <c r="D88" s="34"/>
      <c r="E88" s="34"/>
      <c r="F88" s="34"/>
      <c r="G88" s="34"/>
      <c r="H88" s="34"/>
      <c r="I88" s="29"/>
      <c r="J88" s="29"/>
      <c r="K88" s="29"/>
      <c r="L88" s="29"/>
      <c r="M88" s="29"/>
      <c r="N88" s="29"/>
      <c r="P88" s="90"/>
      <c r="Q88" s="91"/>
    </row>
    <row r="89" spans="1:17" ht="31.8" customHeight="1">
      <c r="A89" s="29"/>
      <c r="B89" s="29"/>
      <c r="C89" s="56"/>
      <c r="D89" s="34"/>
      <c r="E89" s="34"/>
      <c r="F89" s="34"/>
      <c r="G89" s="34"/>
      <c r="H89" s="34"/>
      <c r="I89" s="29"/>
      <c r="J89" s="29"/>
      <c r="K89" s="29"/>
      <c r="L89" s="29"/>
      <c r="M89" s="29"/>
      <c r="N89" s="29"/>
      <c r="P89" s="92"/>
      <c r="Q89" s="93"/>
    </row>
  </sheetData>
  <mergeCells count="23">
    <mergeCell ref="P85:Q89"/>
    <mergeCell ref="P36:Q36"/>
    <mergeCell ref="P54:Q58"/>
    <mergeCell ref="A61:N61"/>
    <mergeCell ref="D63:H63"/>
    <mergeCell ref="J63:N63"/>
    <mergeCell ref="D64:E64"/>
    <mergeCell ref="G64:H64"/>
    <mergeCell ref="J64:K64"/>
    <mergeCell ref="M64:N64"/>
    <mergeCell ref="P64:Q64"/>
    <mergeCell ref="D35:H35"/>
    <mergeCell ref="J35:N35"/>
    <mergeCell ref="D36:E36"/>
    <mergeCell ref="G36:H36"/>
    <mergeCell ref="J36:K36"/>
    <mergeCell ref="M36:N36"/>
    <mergeCell ref="A33:N33"/>
    <mergeCell ref="A4:N4"/>
    <mergeCell ref="D8:K8"/>
    <mergeCell ref="D9:E9"/>
    <mergeCell ref="G9:H9"/>
    <mergeCell ref="J9:K9"/>
  </mergeCells>
  <pageMargins left="0.7" right="0.7" top="0.75" bottom="0.75" header="0.3" footer="0.3"/>
  <pageSetup orientation="portrait" horizontalDpi="4294967295" verticalDpi="4294967295"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16FBF6E6E37447827B60E0C4C792C8" ma:contentTypeVersion="18" ma:contentTypeDescription="Create a new document." ma:contentTypeScope="" ma:versionID="ecd487ed8db3878f6fc752d3e839d19d">
  <xsd:schema xmlns:xsd="http://www.w3.org/2001/XMLSchema" xmlns:xs="http://www.w3.org/2001/XMLSchema" xmlns:p="http://schemas.microsoft.com/office/2006/metadata/properties" xmlns:ns3="a53cfe13-88a2-4d8a-921a-26acc93ffab7" xmlns:ns4="e3370fb0-917d-486d-8ec5-33c5248dbdec" targetNamespace="http://schemas.microsoft.com/office/2006/metadata/properties" ma:root="true" ma:fieldsID="1a9372c9027c374d89d663cf2361a631" ns3:_="" ns4:_="">
    <xsd:import namespace="a53cfe13-88a2-4d8a-921a-26acc93ffab7"/>
    <xsd:import namespace="e3370fb0-917d-486d-8ec5-33c5248dbde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4:SharedWithUsers" minOccurs="0"/>
                <xsd:element ref="ns4:SharedWithDetails" minOccurs="0"/>
                <xsd:element ref="ns4:SharingHintHash" minOccurs="0"/>
                <xsd:element ref="ns3:MediaServiceLocation"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3cfe13-88a2-4d8a-921a-26acc93ffa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370fb0-917d-486d-8ec5-33c5248dbde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a53cfe13-88a2-4d8a-921a-26acc93ffab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42061A-D8E3-45F9-B7A3-B70C1B00A3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3cfe13-88a2-4d8a-921a-26acc93ffab7"/>
    <ds:schemaRef ds:uri="e3370fb0-917d-486d-8ec5-33c5248dbd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30C8D84-6384-4E62-9E87-D941AA55B0AF}">
  <ds:schemaRefs>
    <ds:schemaRef ds:uri="http://schemas.microsoft.com/office/infopath/2007/PartnerControls"/>
    <ds:schemaRef ds:uri="a53cfe13-88a2-4d8a-921a-26acc93ffab7"/>
    <ds:schemaRef ds:uri="http://schemas.openxmlformats.org/package/2006/metadata/core-properties"/>
    <ds:schemaRef ds:uri="http://purl.org/dc/elements/1.1/"/>
    <ds:schemaRef ds:uri="http://schemas.microsoft.com/office/2006/documentManagement/types"/>
    <ds:schemaRef ds:uri="http://purl.org/dc/terms/"/>
    <ds:schemaRef ds:uri="e3370fb0-917d-486d-8ec5-33c5248dbdec"/>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90A1F390-10B6-4EDA-B022-358D54EB903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Black Myth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Hanny Kusnadi</dc:creator>
  <cp:lastModifiedBy>Hanny Kusnadi</cp:lastModifiedBy>
  <dcterms:created xsi:type="dcterms:W3CDTF">2024-09-24T10:41:04Z</dcterms:created>
  <dcterms:modified xsi:type="dcterms:W3CDTF">2025-09-30T04:25:05Z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0x0101001916FBF6E6E37447827B60E0C4C792C8</vt:lpwstr>
  </property>
</Properties>
</file>