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zhann\OneDrive - National University of Singapore\TEACHING\AY2526 S1 ACC1701XA\Lecture 11 SCF\"/>
    </mc:Choice>
  </mc:AlternateContent>
  <xr:revisionPtr revIDLastSave="148" documentId="8_{43FC16A5-C327-495F-A2FD-AADB3EE01B67}" xr6:coauthVersionLast="36" xr6:coauthVersionMax="47" xr10:uidLastSave="{83419E08-D873-46F0-ACF6-1EF503631C94}"/>
  <bookViews>
    <workbookView xWindow="-108" yWindow="-108" windowWidth="19416" windowHeight="11496" xr2:uid="{823F23FE-AB03-46D3-ADEF-6F6B163EC7B7}"/>
  </bookViews>
  <sheets>
    <sheet name="Rizz Tea Solution" sheetId="2" r:id="rId1"/>
    <sheet name="Rizz Tea Work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9" i="4" l="1"/>
  <c r="S38" i="4"/>
  <c r="N25" i="4"/>
  <c r="N20" i="4"/>
  <c r="Q51" i="4"/>
  <c r="Q44" i="4"/>
  <c r="D41" i="4"/>
  <c r="T37" i="4"/>
  <c r="D35" i="4"/>
  <c r="D37" i="4" s="1"/>
  <c r="A31" i="4"/>
  <c r="E26" i="4"/>
  <c r="D26" i="4"/>
  <c r="E21" i="4"/>
  <c r="E22" i="4" s="1"/>
  <c r="D21" i="4"/>
  <c r="D22" i="4" s="1"/>
  <c r="D27" i="4" s="1"/>
  <c r="K16" i="4"/>
  <c r="L14" i="4"/>
  <c r="L13" i="4"/>
  <c r="L12" i="4"/>
  <c r="D12" i="4"/>
  <c r="D15" i="4" s="1"/>
  <c r="L11" i="4"/>
  <c r="L10" i="4"/>
  <c r="E7" i="4"/>
  <c r="E12" i="4" s="1"/>
  <c r="E15" i="4" s="1"/>
  <c r="R27" i="2"/>
  <c r="W11" i="2"/>
  <c r="M19" i="2"/>
  <c r="N33" i="2"/>
  <c r="S19" i="2"/>
  <c r="T20" i="2"/>
  <c r="R18" i="2"/>
  <c r="F10" i="2"/>
  <c r="T53" i="2"/>
  <c r="T56" i="2"/>
  <c r="T48" i="2"/>
  <c r="S47" i="2" s="1"/>
  <c r="T46" i="2"/>
  <c r="M24" i="2"/>
  <c r="Y33" i="2"/>
  <c r="S39" i="2"/>
  <c r="Y28" i="2"/>
  <c r="S33" i="2"/>
  <c r="T33" i="2" s="1"/>
  <c r="T34" i="2" s="1"/>
  <c r="T35" i="2"/>
  <c r="T32" i="2"/>
  <c r="Z24" i="2"/>
  <c r="T29" i="2"/>
  <c r="T26" i="2"/>
  <c r="T18" i="2"/>
  <c r="S10" i="2"/>
  <c r="Z9" i="2" s="1"/>
  <c r="Y8" i="2"/>
  <c r="T12" i="2"/>
  <c r="T9" i="2"/>
  <c r="E27" i="4" l="1"/>
  <c r="N33" i="4"/>
  <c r="D42" i="4"/>
  <c r="D45" i="4" s="1"/>
  <c r="D47" i="4"/>
  <c r="M28" i="2"/>
  <c r="Z46" i="2"/>
  <c r="T47" i="2"/>
  <c r="T10" i="2"/>
  <c r="R11" i="2" s="1"/>
  <c r="Y15" i="2"/>
  <c r="T27" i="2"/>
  <c r="S28" i="2"/>
  <c r="T40" i="4" l="1"/>
  <c r="T41" i="4" s="1"/>
  <c r="M17" i="4"/>
  <c r="T28" i="2"/>
  <c r="S38" i="2"/>
  <c r="Z30" i="2"/>
  <c r="T11" i="2"/>
  <c r="Y11" i="2"/>
  <c r="Z12" i="2" s="1"/>
  <c r="M18" i="2" s="1"/>
  <c r="N30" i="4" l="1"/>
  <c r="Q51" i="2"/>
  <c r="Q44" i="2"/>
  <c r="M15" i="2"/>
  <c r="M8" i="2"/>
  <c r="N32" i="4" l="1"/>
  <c r="N34" i="4" s="1"/>
  <c r="N36" i="4" s="1"/>
  <c r="Y29" i="2"/>
  <c r="T37" i="2"/>
  <c r="X19" i="2" l="1"/>
  <c r="Z16" i="2"/>
  <c r="D35" i="2" l="1"/>
  <c r="D37" i="2" s="1"/>
  <c r="D41" i="2"/>
  <c r="A31" i="2"/>
  <c r="E26" i="2"/>
  <c r="D26" i="2"/>
  <c r="F25" i="2"/>
  <c r="F24" i="2"/>
  <c r="E21" i="2"/>
  <c r="E22" i="2" s="1"/>
  <c r="D21" i="2"/>
  <c r="F20" i="2"/>
  <c r="F19" i="2"/>
  <c r="M16" i="2"/>
  <c r="K16" i="2"/>
  <c r="L14" i="2"/>
  <c r="M13" i="2"/>
  <c r="L13" i="2"/>
  <c r="F14" i="2"/>
  <c r="L12" i="2"/>
  <c r="F13" i="2"/>
  <c r="L11" i="2"/>
  <c r="D12" i="2"/>
  <c r="D15" i="2" s="1"/>
  <c r="L10" i="2"/>
  <c r="F11" i="2"/>
  <c r="M12" i="2" s="1"/>
  <c r="F9" i="2"/>
  <c r="M11" i="2" s="1"/>
  <c r="F8" i="2"/>
  <c r="M10" i="2" s="1"/>
  <c r="E7" i="2"/>
  <c r="E12" i="2" s="1"/>
  <c r="E15" i="2" s="1"/>
  <c r="F21" i="2" l="1"/>
  <c r="M14" i="2" s="1"/>
  <c r="T40" i="2"/>
  <c r="T41" i="2" s="1"/>
  <c r="D42" i="2"/>
  <c r="E27" i="2"/>
  <c r="D22" i="2"/>
  <c r="D27" i="2" s="1"/>
  <c r="D29" i="2" s="1"/>
  <c r="F7" i="2"/>
  <c r="D45" i="2" l="1"/>
  <c r="M23" i="2"/>
  <c r="Y27" i="2"/>
  <c r="N25" i="2"/>
  <c r="D47" i="2" l="1"/>
  <c r="S54" i="2" s="1"/>
  <c r="T54" i="2" s="1"/>
  <c r="R55" i="2" s="1"/>
  <c r="T55" i="2" s="1"/>
  <c r="M6" i="2"/>
  <c r="M17" i="2" s="1"/>
  <c r="Z34" i="2"/>
  <c r="Y52" i="2" l="1"/>
  <c r="Z53" i="2" s="1"/>
  <c r="M29" i="2"/>
  <c r="N30" i="2" s="1"/>
  <c r="Z19" i="2"/>
  <c r="Y18" i="2" s="1"/>
  <c r="N20" i="2" s="1"/>
  <c r="N32" i="2" s="1"/>
  <c r="N34" i="2" s="1"/>
  <c r="N36" i="2" s="1"/>
  <c r="T19" i="2"/>
  <c r="Y45" i="2"/>
</calcChain>
</file>

<file path=xl/sharedStrings.xml><?xml version="1.0" encoding="utf-8"?>
<sst xmlns="http://schemas.openxmlformats.org/spreadsheetml/2006/main" count="308" uniqueCount="119">
  <si>
    <t>Statement of Financial Position</t>
  </si>
  <si>
    <t>ASSETS</t>
  </si>
  <si>
    <t>Current assets:</t>
  </si>
  <si>
    <t>Cash &amp; cash equivalents</t>
  </si>
  <si>
    <t>Accounts Receivable</t>
  </si>
  <si>
    <t>Inventories</t>
  </si>
  <si>
    <t>Prepaid expenses</t>
  </si>
  <si>
    <t>Total current assets</t>
  </si>
  <si>
    <t>Total assets</t>
  </si>
  <si>
    <t>LIABILITIES &amp; STOCKHOLDERS' EQUITY</t>
  </si>
  <si>
    <t>Current liabilities:</t>
  </si>
  <si>
    <t>Accounts payable</t>
  </si>
  <si>
    <t>Accrued expenses</t>
  </si>
  <si>
    <t>Total current liabilities</t>
  </si>
  <si>
    <t>Retained earnings</t>
  </si>
  <si>
    <t>Shareholders' Equity:</t>
  </si>
  <si>
    <t>Total shareholders' equity</t>
  </si>
  <si>
    <t>Total liabilities &amp; shareholders' equity</t>
  </si>
  <si>
    <t>STEP 1 : Determine account changes</t>
  </si>
  <si>
    <t>Account Changes</t>
  </si>
  <si>
    <t>SCF Section</t>
  </si>
  <si>
    <t>CFO</t>
  </si>
  <si>
    <t>CFI</t>
  </si>
  <si>
    <t>CFF</t>
  </si>
  <si>
    <t xml:space="preserve"> Net sales</t>
  </si>
  <si>
    <t>Cost of sales</t>
  </si>
  <si>
    <t xml:space="preserve">     Gross profit</t>
  </si>
  <si>
    <t>Operating expenses:</t>
  </si>
  <si>
    <t>Selling, general and administrative</t>
  </si>
  <si>
    <t xml:space="preserve">     Total operating expenses</t>
  </si>
  <si>
    <t>Operating income</t>
  </si>
  <si>
    <t>Interest income</t>
  </si>
  <si>
    <t>Net income</t>
  </si>
  <si>
    <t>Profit before tax</t>
  </si>
  <si>
    <t>Income taxes</t>
  </si>
  <si>
    <t>Cash Flows from Operating Activities:</t>
  </si>
  <si>
    <t>Profit before taxes</t>
  </si>
  <si>
    <t>Share Capital</t>
  </si>
  <si>
    <t>Depreciation Expense</t>
  </si>
  <si>
    <t>Changes in non cash current assets &amp; liabilities:</t>
  </si>
  <si>
    <t>Other Loss (on disposal of assets)</t>
  </si>
  <si>
    <t>Loss on disposal of asset</t>
  </si>
  <si>
    <t>Adjustments to reconcile profit to net cash from operating activities:</t>
  </si>
  <si>
    <t>Cash generated from operations</t>
  </si>
  <si>
    <t>Income tax payable</t>
  </si>
  <si>
    <t>Income taxes payable</t>
  </si>
  <si>
    <t>Net cash from operating activities</t>
  </si>
  <si>
    <t>Interest income received</t>
  </si>
  <si>
    <t>Cash Flows from Investing Activities:</t>
  </si>
  <si>
    <t>Depreciation expense</t>
  </si>
  <si>
    <t>PPE</t>
  </si>
  <si>
    <t>Accumulated Depreciation</t>
  </si>
  <si>
    <t>Purchases</t>
  </si>
  <si>
    <t>Disposals</t>
  </si>
  <si>
    <t>Less Accumulated Depreciation</t>
  </si>
  <si>
    <t>Cash received from disposal of asset</t>
  </si>
  <si>
    <t>Cash paid for purchases of asset</t>
  </si>
  <si>
    <t>Net cash from investing activities</t>
  </si>
  <si>
    <t>Cash Flows from Financing Activities:</t>
  </si>
  <si>
    <t>Cash received from share issuance</t>
  </si>
  <si>
    <t>Net cash from financing activities</t>
  </si>
  <si>
    <t>Net increase in cash</t>
  </si>
  <si>
    <t>Beginning cash balance</t>
  </si>
  <si>
    <t>Income tax paid</t>
  </si>
  <si>
    <t>Statement of Cash Flows</t>
  </si>
  <si>
    <t>Cash paid for dividends</t>
  </si>
  <si>
    <t>Debit</t>
  </si>
  <si>
    <t>Credit</t>
  </si>
  <si>
    <t>Income Tax Expense</t>
  </si>
  <si>
    <t>Cash</t>
  </si>
  <si>
    <t>Interest Income Receivables</t>
  </si>
  <si>
    <t>Interest Income</t>
  </si>
  <si>
    <t xml:space="preserve">Cash </t>
  </si>
  <si>
    <t>To record purchases of PPE</t>
  </si>
  <si>
    <t>To record disposal of PPE</t>
  </si>
  <si>
    <t>Ending cash balance</t>
  </si>
  <si>
    <t>(1)</t>
  </si>
  <si>
    <t>(2)</t>
  </si>
  <si>
    <r>
      <rPr>
        <b/>
        <i/>
        <sz val="11"/>
        <color rgb="FFC00000"/>
        <rFont val="Times New Roman"/>
        <family val="1"/>
      </rPr>
      <t>(1)</t>
    </r>
    <r>
      <rPr>
        <b/>
        <i/>
        <sz val="11"/>
        <rFont val="Times New Roman"/>
        <family val="1"/>
      </rPr>
      <t xml:space="preserve"> Calulate how much income tax was paid in cash during the year:</t>
    </r>
  </si>
  <si>
    <t>Additional Information</t>
  </si>
  <si>
    <t>Cost of disposed PPE</t>
  </si>
  <si>
    <t>Accum Depr of disposed PPE</t>
  </si>
  <si>
    <t>NBV of disposed PPE</t>
  </si>
  <si>
    <t>Cash received on disposal of PPE</t>
  </si>
  <si>
    <t>(4) New shares issuance</t>
  </si>
  <si>
    <t xml:space="preserve">c)The company issued ordinary shares, which was settled in cash </t>
  </si>
  <si>
    <t>d)The company declared dividends, which was settled fully in cash.</t>
  </si>
  <si>
    <t>(5) Dividends</t>
  </si>
  <si>
    <t>Net Income</t>
  </si>
  <si>
    <t>Dividends</t>
  </si>
  <si>
    <t>(3)</t>
  </si>
  <si>
    <t>(4)</t>
  </si>
  <si>
    <t>(5)</t>
  </si>
  <si>
    <t xml:space="preserve">Workings </t>
  </si>
  <si>
    <t>Dr</t>
  </si>
  <si>
    <t>Cr</t>
  </si>
  <si>
    <t>Balance</t>
  </si>
  <si>
    <t>Beg Balance</t>
  </si>
  <si>
    <t>Tax Paid</t>
  </si>
  <si>
    <t>End Balance</t>
  </si>
  <si>
    <r>
      <rPr>
        <b/>
        <i/>
        <sz val="11"/>
        <color rgb="FFC00000"/>
        <rFont val="Times New Roman"/>
        <family val="1"/>
      </rPr>
      <t>(2)</t>
    </r>
    <r>
      <rPr>
        <b/>
        <i/>
        <sz val="11"/>
        <color theme="1"/>
        <rFont val="Times New Roman"/>
        <family val="1"/>
      </rPr>
      <t xml:space="preserve"> Calulate how much interest income received in cash:</t>
    </r>
  </si>
  <si>
    <t>Interest Received</t>
  </si>
  <si>
    <t>(3) PPE and Accum Depr accounts movements</t>
  </si>
  <si>
    <t>Issuance</t>
  </si>
  <si>
    <t>Tax Expense Recognized</t>
  </si>
  <si>
    <t>Interest Income Recognized</t>
  </si>
  <si>
    <t>Depreciation Exp Recognized</t>
  </si>
  <si>
    <t>Loss on disposal of asset (from IS)</t>
  </si>
  <si>
    <t>Income Statement</t>
  </si>
  <si>
    <t>Journal Entries (to illustrate)</t>
  </si>
  <si>
    <t>2025</t>
  </si>
  <si>
    <t>2024</t>
  </si>
  <si>
    <t>As at Dec 31, 2024 &amp; 2025</t>
  </si>
  <si>
    <t>Rizz Tea Company</t>
  </si>
  <si>
    <t>For the Year Ended Dec 31, 2025</t>
  </si>
  <si>
    <t>Interest Receivable</t>
  </si>
  <si>
    <t>a)The company purchased some new PPE in cash.</t>
  </si>
  <si>
    <t xml:space="preserve">b)The company disposed $30,000 worth of PPE with accumulated depreciation of $26,491. It received some cash for the disposal. </t>
  </si>
  <si>
    <t>check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</si>
</sst>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i/>
      <u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u/>
      <sz val="11"/>
      <name val="Times New Roman"/>
      <family val="1"/>
    </font>
    <font>
      <b/>
      <vertAlign val="superscript"/>
      <sz val="12"/>
      <color rgb="FFC00000"/>
      <name val="Times New Roman"/>
      <family val="1"/>
    </font>
    <font>
      <b/>
      <i/>
      <sz val="11"/>
      <color rgb="FFC00000"/>
      <name val="Times New Roman"/>
      <family val="1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i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2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6" fillId="2" borderId="4" xfId="0" applyFont="1" applyFill="1" applyBorder="1"/>
    <xf numFmtId="0" fontId="6" fillId="2" borderId="0" xfId="0" applyFont="1" applyFill="1"/>
    <xf numFmtId="0" fontId="5" fillId="2" borderId="6" xfId="0" applyFont="1" applyFill="1" applyBorder="1"/>
    <xf numFmtId="0" fontId="6" fillId="2" borderId="7" xfId="0" applyFont="1" applyFill="1" applyBorder="1"/>
    <xf numFmtId="49" fontId="6" fillId="2" borderId="7" xfId="0" applyNumberFormat="1" applyFont="1" applyFill="1" applyBorder="1" applyAlignment="1">
      <alignment horizontal="center"/>
    </xf>
    <xf numFmtId="49" fontId="6" fillId="2" borderId="8" xfId="0" applyNumberFormat="1" applyFont="1" applyFill="1" applyBorder="1" applyAlignment="1">
      <alignment horizontal="center"/>
    </xf>
    <xf numFmtId="0" fontId="6" fillId="2" borderId="5" xfId="0" applyFont="1" applyFill="1" applyBorder="1"/>
    <xf numFmtId="42" fontId="6" fillId="2" borderId="0" xfId="0" applyNumberFormat="1" applyFont="1" applyFill="1"/>
    <xf numFmtId="42" fontId="6" fillId="2" borderId="5" xfId="0" applyNumberFormat="1" applyFont="1" applyFill="1" applyBorder="1"/>
    <xf numFmtId="41" fontId="6" fillId="2" borderId="0" xfId="0" applyNumberFormat="1" applyFont="1" applyFill="1"/>
    <xf numFmtId="41" fontId="6" fillId="2" borderId="5" xfId="0" applyNumberFormat="1" applyFont="1" applyFill="1" applyBorder="1"/>
    <xf numFmtId="41" fontId="6" fillId="2" borderId="7" xfId="0" applyNumberFormat="1" applyFont="1" applyFill="1" applyBorder="1"/>
    <xf numFmtId="41" fontId="6" fillId="2" borderId="8" xfId="0" applyNumberFormat="1" applyFont="1" applyFill="1" applyBorder="1"/>
    <xf numFmtId="42" fontId="6" fillId="2" borderId="9" xfId="0" applyNumberFormat="1" applyFont="1" applyFill="1" applyBorder="1"/>
    <xf numFmtId="42" fontId="6" fillId="2" borderId="13" xfId="0" applyNumberFormat="1" applyFont="1" applyFill="1" applyBorder="1"/>
    <xf numFmtId="164" fontId="6" fillId="2" borderId="0" xfId="2" applyNumberFormat="1" applyFont="1" applyFill="1" applyBorder="1"/>
    <xf numFmtId="164" fontId="6" fillId="2" borderId="5" xfId="2" applyNumberFormat="1" applyFont="1" applyFill="1" applyBorder="1"/>
    <xf numFmtId="165" fontId="6" fillId="2" borderId="7" xfId="1" applyNumberFormat="1" applyFont="1" applyFill="1" applyBorder="1"/>
    <xf numFmtId="165" fontId="6" fillId="2" borderId="8" xfId="1" applyNumberFormat="1" applyFont="1" applyFill="1" applyBorder="1"/>
    <xf numFmtId="3" fontId="6" fillId="2" borderId="0" xfId="0" applyNumberFormat="1" applyFont="1" applyFill="1"/>
    <xf numFmtId="165" fontId="6" fillId="2" borderId="5" xfId="1" applyNumberFormat="1" applyFont="1" applyFill="1" applyBorder="1"/>
    <xf numFmtId="3" fontId="6" fillId="2" borderId="5" xfId="0" applyNumberFormat="1" applyFont="1" applyFill="1" applyBorder="1"/>
    <xf numFmtId="3" fontId="6" fillId="2" borderId="7" xfId="0" applyNumberFormat="1" applyFont="1" applyFill="1" applyBorder="1"/>
    <xf numFmtId="3" fontId="6" fillId="2" borderId="8" xfId="0" applyNumberFormat="1" applyFont="1" applyFill="1" applyBorder="1"/>
    <xf numFmtId="164" fontId="6" fillId="2" borderId="9" xfId="2" applyNumberFormat="1" applyFont="1" applyFill="1" applyBorder="1"/>
    <xf numFmtId="164" fontId="6" fillId="2" borderId="13" xfId="2" applyNumberFormat="1" applyFont="1" applyFill="1" applyBorder="1"/>
    <xf numFmtId="0" fontId="6" fillId="2" borderId="6" xfId="0" applyFont="1" applyFill="1" applyBorder="1"/>
    <xf numFmtId="0" fontId="4" fillId="2" borderId="7" xfId="0" applyFont="1" applyFill="1" applyBorder="1"/>
    <xf numFmtId="15" fontId="6" fillId="2" borderId="8" xfId="0" quotePrefix="1" applyNumberFormat="1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left" indent="2"/>
    </xf>
    <xf numFmtId="0" fontId="7" fillId="2" borderId="4" xfId="0" applyFont="1" applyFill="1" applyBorder="1"/>
    <xf numFmtId="0" fontId="7" fillId="2" borderId="0" xfId="0" applyFont="1" applyFill="1"/>
    <xf numFmtId="0" fontId="4" fillId="2" borderId="0" xfId="0" applyFont="1" applyFill="1"/>
    <xf numFmtId="0" fontId="7" fillId="2" borderId="5" xfId="0" applyFont="1" applyFill="1" applyBorder="1"/>
    <xf numFmtId="0" fontId="7" fillId="2" borderId="6" xfId="0" applyFont="1" applyFill="1" applyBorder="1"/>
    <xf numFmtId="0" fontId="7" fillId="2" borderId="7" xfId="0" applyFont="1" applyFill="1" applyBorder="1"/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/>
    <xf numFmtId="0" fontId="7" fillId="2" borderId="11" xfId="0" applyFont="1" applyFill="1" applyBorder="1"/>
    <xf numFmtId="0" fontId="7" fillId="2" borderId="12" xfId="0" applyFont="1" applyFill="1" applyBorder="1"/>
    <xf numFmtId="0" fontId="2" fillId="0" borderId="0" xfId="0" applyFont="1"/>
    <xf numFmtId="0" fontId="3" fillId="2" borderId="0" xfId="0" applyFont="1" applyFill="1"/>
    <xf numFmtId="41" fontId="7" fillId="2" borderId="0" xfId="0" applyNumberFormat="1" applyFont="1" applyFill="1"/>
    <xf numFmtId="41" fontId="4" fillId="2" borderId="5" xfId="0" applyNumberFormat="1" applyFont="1" applyFill="1" applyBorder="1"/>
    <xf numFmtId="41" fontId="7" fillId="2" borderId="7" xfId="0" applyNumberFormat="1" applyFont="1" applyFill="1" applyBorder="1"/>
    <xf numFmtId="41" fontId="7" fillId="2" borderId="5" xfId="0" applyNumberFormat="1" applyFont="1" applyFill="1" applyBorder="1"/>
    <xf numFmtId="41" fontId="7" fillId="2" borderId="8" xfId="0" applyNumberFormat="1" applyFont="1" applyFill="1" applyBorder="1"/>
    <xf numFmtId="41" fontId="7" fillId="2" borderId="9" xfId="0" applyNumberFormat="1" applyFont="1" applyFill="1" applyBorder="1"/>
    <xf numFmtId="41" fontId="7" fillId="2" borderId="13" xfId="0" applyNumberFormat="1" applyFont="1" applyFill="1" applyBorder="1"/>
    <xf numFmtId="0" fontId="4" fillId="3" borderId="0" xfId="0" applyFont="1" applyFill="1"/>
    <xf numFmtId="0" fontId="4" fillId="3" borderId="0" xfId="0" quotePrefix="1" applyFont="1" applyFill="1"/>
    <xf numFmtId="0" fontId="14" fillId="2" borderId="5" xfId="0" quotePrefix="1" applyFont="1" applyFill="1" applyBorder="1" applyAlignment="1">
      <alignment horizontal="left" vertical="top"/>
    </xf>
    <xf numFmtId="0" fontId="14" fillId="2" borderId="8" xfId="0" quotePrefix="1" applyFont="1" applyFill="1" applyBorder="1" applyAlignment="1">
      <alignment horizontal="left" vertical="top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38" fontId="6" fillId="4" borderId="15" xfId="0" applyNumberFormat="1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17" fillId="0" borderId="0" xfId="0" applyFont="1"/>
    <xf numFmtId="0" fontId="6" fillId="0" borderId="0" xfId="0" applyFont="1" applyAlignment="1">
      <alignment horizontal="left" vertical="center" readingOrder="1"/>
    </xf>
    <xf numFmtId="44" fontId="3" fillId="2" borderId="21" xfId="2" applyFont="1" applyFill="1" applyBorder="1"/>
    <xf numFmtId="0" fontId="3" fillId="2" borderId="21" xfId="0" applyFont="1" applyFill="1" applyBorder="1"/>
    <xf numFmtId="0" fontId="4" fillId="2" borderId="21" xfId="0" applyFont="1" applyFill="1" applyBorder="1"/>
    <xf numFmtId="0" fontId="11" fillId="2" borderId="21" xfId="0" applyFont="1" applyFill="1" applyBorder="1"/>
    <xf numFmtId="0" fontId="3" fillId="2" borderId="22" xfId="0" applyFont="1" applyFill="1" applyBorder="1"/>
    <xf numFmtId="0" fontId="12" fillId="2" borderId="7" xfId="0" applyFont="1" applyFill="1" applyBorder="1" applyAlignment="1">
      <alignment horizontal="center"/>
    </xf>
    <xf numFmtId="0" fontId="12" fillId="2" borderId="23" xfId="0" applyFont="1" applyFill="1" applyBorder="1" applyAlignment="1">
      <alignment horizontal="center"/>
    </xf>
    <xf numFmtId="44" fontId="3" fillId="2" borderId="0" xfId="0" applyNumberFormat="1" applyFont="1" applyFill="1"/>
    <xf numFmtId="0" fontId="3" fillId="2" borderId="24" xfId="0" applyFont="1" applyFill="1" applyBorder="1"/>
    <xf numFmtId="44" fontId="3" fillId="2" borderId="24" xfId="0" applyNumberFormat="1" applyFont="1" applyFill="1" applyBorder="1"/>
    <xf numFmtId="0" fontId="3" fillId="2" borderId="7" xfId="0" applyFont="1" applyFill="1" applyBorder="1"/>
    <xf numFmtId="44" fontId="3" fillId="2" borderId="23" xfId="0" applyNumberFormat="1" applyFont="1" applyFill="1" applyBorder="1"/>
    <xf numFmtId="0" fontId="3" fillId="2" borderId="23" xfId="0" applyFont="1" applyFill="1" applyBorder="1"/>
    <xf numFmtId="0" fontId="12" fillId="2" borderId="0" xfId="0" applyFont="1" applyFill="1"/>
    <xf numFmtId="0" fontId="7" fillId="0" borderId="0" xfId="0" applyFont="1" applyAlignment="1">
      <alignment horizontal="center"/>
    </xf>
    <xf numFmtId="41" fontId="4" fillId="0" borderId="0" xfId="0" applyNumberFormat="1" applyFont="1"/>
    <xf numFmtId="41" fontId="7" fillId="0" borderId="0" xfId="0" applyNumberFormat="1" applyFont="1"/>
    <xf numFmtId="165" fontId="3" fillId="2" borderId="7" xfId="1" applyNumberFormat="1" applyFont="1" applyFill="1" applyBorder="1"/>
    <xf numFmtId="0" fontId="9" fillId="2" borderId="0" xfId="0" applyFont="1" applyFill="1"/>
    <xf numFmtId="165" fontId="9" fillId="2" borderId="9" xfId="1" applyNumberFormat="1" applyFont="1" applyFill="1" applyBorder="1"/>
    <xf numFmtId="0" fontId="16" fillId="2" borderId="21" xfId="0" applyFont="1" applyFill="1" applyBorder="1"/>
    <xf numFmtId="0" fontId="8" fillId="2" borderId="21" xfId="0" applyFont="1" applyFill="1" applyBorder="1"/>
    <xf numFmtId="0" fontId="8" fillId="2" borderId="0" xfId="0" applyFont="1" applyFill="1"/>
    <xf numFmtId="165" fontId="3" fillId="2" borderId="0" xfId="1" applyNumberFormat="1" applyFont="1" applyFill="1" applyBorder="1"/>
    <xf numFmtId="165" fontId="9" fillId="2" borderId="0" xfId="1" applyNumberFormat="1" applyFont="1" applyFill="1" applyBorder="1"/>
    <xf numFmtId="41" fontId="6" fillId="2" borderId="14" xfId="0" applyNumberFormat="1" applyFont="1" applyFill="1" applyBorder="1"/>
    <xf numFmtId="41" fontId="6" fillId="2" borderId="13" xfId="0" applyNumberFormat="1" applyFont="1" applyFill="1" applyBorder="1"/>
    <xf numFmtId="0" fontId="3" fillId="2" borderId="25" xfId="0" applyFont="1" applyFill="1" applyBorder="1"/>
    <xf numFmtId="0" fontId="9" fillId="2" borderId="25" xfId="0" applyFont="1" applyFill="1" applyBorder="1"/>
    <xf numFmtId="44" fontId="3" fillId="2" borderId="25" xfId="2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41" fontId="3" fillId="2" borderId="25" xfId="0" applyNumberFormat="1" applyFont="1" applyFill="1" applyBorder="1" applyAlignment="1">
      <alignment horizontal="center"/>
    </xf>
    <xf numFmtId="44" fontId="9" fillId="2" borderId="25" xfId="2" applyFont="1" applyFill="1" applyBorder="1" applyAlignment="1">
      <alignment horizontal="center"/>
    </xf>
    <xf numFmtId="44" fontId="9" fillId="2" borderId="25" xfId="0" applyNumberFormat="1" applyFont="1" applyFill="1" applyBorder="1" applyAlignment="1">
      <alignment horizontal="center"/>
    </xf>
    <xf numFmtId="0" fontId="10" fillId="2" borderId="25" xfId="0" applyFont="1" applyFill="1" applyBorder="1"/>
    <xf numFmtId="44" fontId="10" fillId="2" borderId="25" xfId="2" applyFont="1" applyFill="1" applyBorder="1" applyAlignment="1">
      <alignment horizontal="center"/>
    </xf>
    <xf numFmtId="44" fontId="10" fillId="2" borderId="25" xfId="0" applyNumberFormat="1" applyFont="1" applyFill="1" applyBorder="1" applyAlignment="1">
      <alignment horizontal="center"/>
    </xf>
    <xf numFmtId="42" fontId="7" fillId="0" borderId="0" xfId="0" applyNumberFormat="1" applyFont="1"/>
    <xf numFmtId="0" fontId="18" fillId="0" borderId="0" xfId="0" applyFont="1" applyAlignment="1">
      <alignment horizontal="right"/>
    </xf>
    <xf numFmtId="41" fontId="18" fillId="0" borderId="0" xfId="0" applyNumberFormat="1" applyFont="1"/>
    <xf numFmtId="0" fontId="10" fillId="2" borderId="7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6" fillId="4" borderId="6" xfId="0" applyFont="1" applyFill="1" applyBorder="1" applyAlignment="1">
      <alignment horizontal="center" wrapText="1"/>
    </xf>
    <xf numFmtId="0" fontId="6" fillId="4" borderId="8" xfId="0" applyFont="1" applyFill="1" applyBorder="1" applyAlignment="1">
      <alignment horizontal="center" wrapText="1"/>
    </xf>
    <xf numFmtId="49" fontId="6" fillId="4" borderId="15" xfId="0" applyNumberFormat="1" applyFont="1" applyFill="1" applyBorder="1" applyAlignment="1">
      <alignment horizontal="center" wrapText="1"/>
    </xf>
    <xf numFmtId="49" fontId="6" fillId="4" borderId="17" xfId="0" applyNumberFormat="1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wrapText="1"/>
    </xf>
    <xf numFmtId="0" fontId="6" fillId="4" borderId="18" xfId="0" applyFont="1" applyFill="1" applyBorder="1" applyAlignment="1">
      <alignment horizont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1180-7F73-4F6C-BD32-6CDBAE413DB9}">
  <dimension ref="A1:AA56"/>
  <sheetViews>
    <sheetView tabSelected="1" topLeftCell="M40" zoomScaleNormal="100" workbookViewId="0">
      <selection activeCell="AB51" sqref="AB51"/>
    </sheetView>
  </sheetViews>
  <sheetFormatPr defaultColWidth="8.88671875" defaultRowHeight="15.6" x14ac:dyDescent="0.3"/>
  <cols>
    <col min="1" max="1" width="6.21875" style="3" customWidth="1"/>
    <col min="2" max="2" width="26.21875" style="3" customWidth="1"/>
    <col min="3" max="3" width="8.88671875" style="3"/>
    <col min="4" max="4" width="14.109375" style="3" customWidth="1"/>
    <col min="5" max="5" width="15" style="3" customWidth="1"/>
    <col min="6" max="7" width="12" style="2" customWidth="1"/>
    <col min="8" max="8" width="8.88671875" style="1"/>
    <col min="9" max="9" width="4.44140625" style="3" customWidth="1"/>
    <col min="10" max="10" width="5" style="3" customWidth="1"/>
    <col min="11" max="11" width="4.44140625" style="3" customWidth="1"/>
    <col min="12" max="12" width="41.88671875" style="3" customWidth="1"/>
    <col min="13" max="15" width="10.77734375" style="3" customWidth="1"/>
    <col min="16" max="16" width="1" style="53" customWidth="1"/>
    <col min="17" max="17" width="24.77734375" style="36" customWidth="1"/>
    <col min="18" max="18" width="12.44140625" style="36" bestFit="1" customWidth="1"/>
    <col min="19" max="19" width="15" style="36" bestFit="1" customWidth="1"/>
    <col min="20" max="20" width="12.6640625" style="36" customWidth="1"/>
    <col min="21" max="21" width="8.88671875" style="36"/>
    <col min="22" max="22" width="0.88671875" style="36" customWidth="1"/>
    <col min="23" max="23" width="8.88671875" style="45"/>
    <col min="24" max="24" width="27" style="45" customWidth="1"/>
    <col min="25" max="26" width="11.44140625" style="45" bestFit="1" customWidth="1"/>
    <col min="27" max="27" width="0.88671875" style="53" customWidth="1"/>
    <col min="28" max="16384" width="8.88671875" style="1"/>
  </cols>
  <sheetData>
    <row r="1" spans="1:26" x14ac:dyDescent="0.3">
      <c r="A1" s="111" t="s">
        <v>113</v>
      </c>
      <c r="B1" s="112"/>
      <c r="C1" s="112"/>
      <c r="D1" s="112"/>
      <c r="E1" s="113"/>
      <c r="F1" s="114" t="s">
        <v>18</v>
      </c>
      <c r="G1" s="115"/>
      <c r="I1" s="111" t="s">
        <v>113</v>
      </c>
      <c r="J1" s="112"/>
      <c r="K1" s="112"/>
      <c r="L1" s="112"/>
      <c r="M1" s="112"/>
      <c r="N1" s="113"/>
      <c r="O1" s="2"/>
    </row>
    <row r="2" spans="1:26" ht="15.6" customHeight="1" x14ac:dyDescent="0.3">
      <c r="A2" s="108" t="s">
        <v>0</v>
      </c>
      <c r="B2" s="109"/>
      <c r="C2" s="109"/>
      <c r="D2" s="109"/>
      <c r="E2" s="110"/>
      <c r="F2" s="116"/>
      <c r="G2" s="117"/>
      <c r="I2" s="108" t="s">
        <v>64</v>
      </c>
      <c r="J2" s="109"/>
      <c r="K2" s="109"/>
      <c r="L2" s="109"/>
      <c r="M2" s="109"/>
      <c r="N2" s="110"/>
      <c r="O2" s="2"/>
    </row>
    <row r="3" spans="1:26" x14ac:dyDescent="0.3">
      <c r="A3" s="108" t="s">
        <v>112</v>
      </c>
      <c r="B3" s="109"/>
      <c r="C3" s="109"/>
      <c r="D3" s="109"/>
      <c r="E3" s="110"/>
      <c r="F3" s="118" t="s">
        <v>19</v>
      </c>
      <c r="G3" s="120" t="s">
        <v>20</v>
      </c>
      <c r="I3" s="108" t="s">
        <v>114</v>
      </c>
      <c r="J3" s="109"/>
      <c r="K3" s="109"/>
      <c r="L3" s="109"/>
      <c r="M3" s="109"/>
      <c r="N3" s="110"/>
      <c r="O3" s="2"/>
    </row>
    <row r="4" spans="1:26" x14ac:dyDescent="0.3">
      <c r="A4" s="6"/>
      <c r="B4" s="7"/>
      <c r="C4" s="7"/>
      <c r="D4" s="8" t="s">
        <v>110</v>
      </c>
      <c r="E4" s="9" t="s">
        <v>111</v>
      </c>
      <c r="F4" s="119"/>
      <c r="G4" s="121"/>
      <c r="I4" s="38"/>
      <c r="J4" s="39"/>
      <c r="K4" s="39"/>
      <c r="L4" s="39"/>
      <c r="M4" s="31"/>
      <c r="N4" s="40"/>
      <c r="O4" s="78"/>
    </row>
    <row r="5" spans="1:26" x14ac:dyDescent="0.3">
      <c r="A5" s="4" t="s">
        <v>1</v>
      </c>
      <c r="B5" s="5"/>
      <c r="C5" s="5"/>
      <c r="D5" s="5"/>
      <c r="E5" s="10"/>
      <c r="F5" s="57"/>
      <c r="G5" s="58"/>
      <c r="I5" s="34" t="s">
        <v>35</v>
      </c>
      <c r="J5" s="35"/>
      <c r="K5" s="35"/>
      <c r="L5" s="35"/>
      <c r="M5" s="36"/>
      <c r="N5" s="37"/>
      <c r="Q5" s="105" t="s">
        <v>93</v>
      </c>
      <c r="R5" s="105"/>
      <c r="S5" s="105"/>
      <c r="T5" s="105"/>
      <c r="U5" s="105"/>
      <c r="W5" s="106" t="s">
        <v>109</v>
      </c>
      <c r="X5" s="106"/>
      <c r="Y5" s="106"/>
      <c r="Z5" s="106"/>
    </row>
    <row r="6" spans="1:26" x14ac:dyDescent="0.3">
      <c r="A6" s="4" t="s">
        <v>2</v>
      </c>
      <c r="B6" s="5"/>
      <c r="C6" s="5"/>
      <c r="D6" s="5"/>
      <c r="E6" s="10"/>
      <c r="F6" s="57"/>
      <c r="G6" s="58"/>
      <c r="I6" s="34"/>
      <c r="J6" s="35" t="s">
        <v>36</v>
      </c>
      <c r="K6" s="35"/>
      <c r="L6" s="35"/>
      <c r="M6" s="46">
        <f>D45</f>
        <v>46797</v>
      </c>
      <c r="N6" s="47"/>
      <c r="O6" s="79"/>
      <c r="Q6" s="84" t="s">
        <v>78</v>
      </c>
      <c r="R6" s="64"/>
      <c r="S6" s="65"/>
      <c r="T6" s="64"/>
      <c r="U6" s="66"/>
      <c r="V6" s="66"/>
      <c r="W6" s="67"/>
      <c r="X6" s="65"/>
      <c r="Y6" s="65"/>
      <c r="Z6" s="68"/>
    </row>
    <row r="7" spans="1:26" x14ac:dyDescent="0.3">
      <c r="A7" s="4"/>
      <c r="B7" s="5" t="s">
        <v>3</v>
      </c>
      <c r="C7" s="5"/>
      <c r="D7" s="11">
        <v>84140</v>
      </c>
      <c r="E7" s="12">
        <f>51497+3000</f>
        <v>54497</v>
      </c>
      <c r="F7" s="59">
        <f>D7-E7</f>
        <v>29643</v>
      </c>
      <c r="G7" s="58"/>
      <c r="I7" s="34"/>
      <c r="J7" s="35" t="s">
        <v>42</v>
      </c>
      <c r="K7" s="35"/>
      <c r="L7" s="35"/>
      <c r="M7" s="46"/>
      <c r="N7" s="47"/>
      <c r="O7" s="79"/>
      <c r="Q7" s="107" t="s">
        <v>45</v>
      </c>
      <c r="R7" s="107"/>
      <c r="S7" s="107"/>
      <c r="T7" s="107"/>
      <c r="Y7" s="69" t="s">
        <v>66</v>
      </c>
      <c r="Z7" s="70" t="s">
        <v>67</v>
      </c>
    </row>
    <row r="8" spans="1:26" x14ac:dyDescent="0.3">
      <c r="A8" s="4"/>
      <c r="B8" s="5" t="s">
        <v>4</v>
      </c>
      <c r="C8" s="5"/>
      <c r="D8" s="13">
        <v>53735</v>
      </c>
      <c r="E8" s="14">
        <v>49186</v>
      </c>
      <c r="F8" s="59">
        <f>D8-E8</f>
        <v>4549</v>
      </c>
      <c r="G8" s="58" t="s">
        <v>21</v>
      </c>
      <c r="I8" s="34"/>
      <c r="J8" s="35"/>
      <c r="K8" s="35" t="s">
        <v>38</v>
      </c>
      <c r="L8" s="35"/>
      <c r="M8" s="46">
        <f>-D40</f>
        <v>8891</v>
      </c>
      <c r="N8" s="47"/>
      <c r="O8" s="79"/>
      <c r="Q8" s="91"/>
      <c r="R8" s="93" t="s">
        <v>94</v>
      </c>
      <c r="S8" s="94" t="s">
        <v>95</v>
      </c>
      <c r="T8" s="93" t="s">
        <v>96</v>
      </c>
      <c r="W8" s="45" t="s">
        <v>68</v>
      </c>
      <c r="Y8" s="71">
        <f>-D46</f>
        <v>14055</v>
      </c>
      <c r="Z8" s="72"/>
    </row>
    <row r="9" spans="1:26" x14ac:dyDescent="0.3">
      <c r="A9" s="4"/>
      <c r="B9" s="5" t="s">
        <v>5</v>
      </c>
      <c r="C9" s="5"/>
      <c r="D9" s="13">
        <v>39612</v>
      </c>
      <c r="E9" s="14">
        <v>38754</v>
      </c>
      <c r="F9" s="59">
        <f>D9-E9</f>
        <v>858</v>
      </c>
      <c r="G9" s="58" t="s">
        <v>21</v>
      </c>
      <c r="I9" s="34"/>
      <c r="J9" s="35"/>
      <c r="K9" s="35" t="s">
        <v>39</v>
      </c>
      <c r="L9" s="35"/>
      <c r="M9" s="46"/>
      <c r="N9" s="47"/>
      <c r="O9" s="79"/>
      <c r="Q9" s="91" t="s">
        <v>97</v>
      </c>
      <c r="R9" s="94"/>
      <c r="S9" s="94"/>
      <c r="T9" s="93">
        <f>E20</f>
        <v>12000</v>
      </c>
      <c r="X9" s="45" t="s">
        <v>45</v>
      </c>
      <c r="Z9" s="73">
        <f>S10</f>
        <v>14055</v>
      </c>
    </row>
    <row r="10" spans="1:26" x14ac:dyDescent="0.3">
      <c r="A10" s="4"/>
      <c r="B10" s="5" t="s">
        <v>115</v>
      </c>
      <c r="C10" s="5"/>
      <c r="D10" s="13">
        <v>450</v>
      </c>
      <c r="E10" s="14">
        <v>0</v>
      </c>
      <c r="F10" s="59">
        <f>D10-E10</f>
        <v>450</v>
      </c>
      <c r="G10" s="58" t="s">
        <v>21</v>
      </c>
      <c r="I10" s="34"/>
      <c r="J10" s="35"/>
      <c r="K10" s="35"/>
      <c r="L10" s="35" t="str">
        <f>B8</f>
        <v>Accounts Receivable</v>
      </c>
      <c r="M10" s="46">
        <f>-F8</f>
        <v>-4549</v>
      </c>
      <c r="N10" s="47"/>
      <c r="O10" s="79"/>
      <c r="Q10" s="91" t="s">
        <v>104</v>
      </c>
      <c r="R10" s="93"/>
      <c r="S10" s="95">
        <f>-D46</f>
        <v>14055</v>
      </c>
      <c r="T10" s="93">
        <f>T9+S10-R10</f>
        <v>26055</v>
      </c>
      <c r="Z10" s="72"/>
    </row>
    <row r="11" spans="1:26" x14ac:dyDescent="0.3">
      <c r="A11" s="4"/>
      <c r="B11" s="5" t="s">
        <v>6</v>
      </c>
      <c r="C11" s="5"/>
      <c r="D11" s="15">
        <v>5552</v>
      </c>
      <c r="E11" s="16">
        <v>12009</v>
      </c>
      <c r="F11" s="59">
        <f>D11-E11</f>
        <v>-6457</v>
      </c>
      <c r="G11" s="58" t="s">
        <v>21</v>
      </c>
      <c r="I11" s="34"/>
      <c r="J11" s="35"/>
      <c r="K11" s="35"/>
      <c r="L11" s="35" t="str">
        <f>B9</f>
        <v>Inventories</v>
      </c>
      <c r="M11" s="46">
        <f>-F9</f>
        <v>-858</v>
      </c>
      <c r="N11" s="47"/>
      <c r="O11" s="79"/>
      <c r="Q11" s="92" t="s">
        <v>98</v>
      </c>
      <c r="R11" s="96">
        <f>T10-T12</f>
        <v>11055</v>
      </c>
      <c r="S11" s="94"/>
      <c r="T11" s="93">
        <f>T10+S11-R11</f>
        <v>15000</v>
      </c>
      <c r="W11" s="45" t="str">
        <f>X9</f>
        <v>Income taxes payable</v>
      </c>
      <c r="Y11" s="71">
        <f>R11</f>
        <v>11055</v>
      </c>
      <c r="Z11" s="72"/>
    </row>
    <row r="12" spans="1:26" x14ac:dyDescent="0.3">
      <c r="A12" s="4" t="s">
        <v>7</v>
      </c>
      <c r="B12" s="5"/>
      <c r="C12" s="5"/>
      <c r="D12" s="13">
        <f>SUM(D7:D11)</f>
        <v>183489</v>
      </c>
      <c r="E12" s="14">
        <f>SUM(E7:E11)</f>
        <v>154446</v>
      </c>
      <c r="F12" s="59"/>
      <c r="G12" s="58"/>
      <c r="I12" s="34"/>
      <c r="J12" s="35"/>
      <c r="K12" s="35"/>
      <c r="L12" s="35" t="str">
        <f>B11</f>
        <v>Prepaid expenses</v>
      </c>
      <c r="M12" s="46">
        <f>-F11</f>
        <v>6457</v>
      </c>
      <c r="N12" s="47"/>
      <c r="O12" s="79"/>
      <c r="Q12" s="91" t="s">
        <v>99</v>
      </c>
      <c r="R12" s="96"/>
      <c r="S12" s="94"/>
      <c r="T12" s="93">
        <f>D20</f>
        <v>15000</v>
      </c>
      <c r="X12" s="45" t="s">
        <v>69</v>
      </c>
      <c r="Y12" s="71"/>
      <c r="Z12" s="73">
        <f>Y11</f>
        <v>11055</v>
      </c>
    </row>
    <row r="13" spans="1:26" x14ac:dyDescent="0.3">
      <c r="A13" s="34"/>
      <c r="B13" s="35" t="s">
        <v>50</v>
      </c>
      <c r="C13" s="35"/>
      <c r="D13" s="13">
        <v>80000</v>
      </c>
      <c r="E13" s="14">
        <v>100000</v>
      </c>
      <c r="F13" s="59">
        <f>D13-E13</f>
        <v>-20000</v>
      </c>
      <c r="G13" s="58" t="s">
        <v>22</v>
      </c>
      <c r="I13" s="34"/>
      <c r="J13" s="35"/>
      <c r="K13" s="35"/>
      <c r="L13" s="35" t="str">
        <f>B19</f>
        <v>Accounts payable</v>
      </c>
      <c r="M13" s="46">
        <f>F19</f>
        <v>-1798</v>
      </c>
      <c r="N13" s="47"/>
      <c r="O13" s="79"/>
      <c r="Q13" s="31"/>
      <c r="R13" s="31"/>
      <c r="S13" s="31"/>
      <c r="T13" s="31"/>
      <c r="U13" s="31"/>
      <c r="V13" s="31"/>
      <c r="W13" s="74"/>
      <c r="X13" s="74"/>
      <c r="Y13" s="74"/>
      <c r="Z13" s="75"/>
    </row>
    <row r="14" spans="1:26" x14ac:dyDescent="0.3">
      <c r="A14" s="4"/>
      <c r="B14" s="5" t="s">
        <v>54</v>
      </c>
      <c r="C14" s="5"/>
      <c r="D14" s="13">
        <v>-619</v>
      </c>
      <c r="E14" s="14">
        <v>-18219</v>
      </c>
      <c r="F14" s="59">
        <f>D14-E14</f>
        <v>17600</v>
      </c>
      <c r="G14" s="58" t="s">
        <v>22</v>
      </c>
      <c r="I14" s="34"/>
      <c r="J14" s="35"/>
      <c r="K14" s="35"/>
      <c r="L14" s="35" t="str">
        <f>B21</f>
        <v>Accrued expenses</v>
      </c>
      <c r="M14" s="46">
        <f>F21</f>
        <v>-396</v>
      </c>
      <c r="N14" s="47"/>
      <c r="O14" s="79"/>
      <c r="Q14" s="85" t="s">
        <v>100</v>
      </c>
      <c r="R14" s="64"/>
      <c r="S14" s="65"/>
      <c r="T14" s="64"/>
      <c r="U14" s="66"/>
      <c r="V14" s="66"/>
      <c r="W14" s="65"/>
      <c r="X14" s="65"/>
      <c r="Y14" s="65"/>
      <c r="Z14" s="68"/>
    </row>
    <row r="15" spans="1:26" ht="16.2" thickBot="1" x14ac:dyDescent="0.35">
      <c r="A15" s="4" t="s">
        <v>8</v>
      </c>
      <c r="B15" s="5"/>
      <c r="C15" s="5"/>
      <c r="D15" s="17">
        <f>SUM(D12:D14)</f>
        <v>262870</v>
      </c>
      <c r="E15" s="18">
        <f>SUM(E12:E14)</f>
        <v>236227</v>
      </c>
      <c r="F15" s="59"/>
      <c r="G15" s="58"/>
      <c r="I15" s="34"/>
      <c r="J15" s="35"/>
      <c r="K15" s="35" t="s">
        <v>41</v>
      </c>
      <c r="L15" s="35"/>
      <c r="M15" s="46">
        <f>-D43</f>
        <v>2500</v>
      </c>
      <c r="N15" s="47"/>
      <c r="O15" s="79"/>
      <c r="Q15" s="107" t="s">
        <v>70</v>
      </c>
      <c r="R15" s="107"/>
      <c r="S15" s="107"/>
      <c r="T15" s="107"/>
      <c r="W15" s="45" t="s">
        <v>70</v>
      </c>
      <c r="Y15" s="71">
        <f>R18</f>
        <v>860</v>
      </c>
      <c r="Z15" s="72"/>
    </row>
    <row r="16" spans="1:26" ht="16.2" thickTop="1" x14ac:dyDescent="0.3">
      <c r="A16" s="4"/>
      <c r="B16" s="5"/>
      <c r="C16" s="5"/>
      <c r="D16" s="11"/>
      <c r="E16" s="12"/>
      <c r="F16" s="59"/>
      <c r="G16" s="58"/>
      <c r="I16" s="34"/>
      <c r="J16" s="35"/>
      <c r="K16" s="35" t="str">
        <f>A44</f>
        <v>Interest income</v>
      </c>
      <c r="L16" s="35"/>
      <c r="M16" s="48">
        <f>-D44</f>
        <v>-860</v>
      </c>
      <c r="N16" s="47"/>
      <c r="O16" s="79"/>
      <c r="Q16" s="91"/>
      <c r="R16" s="93" t="s">
        <v>94</v>
      </c>
      <c r="S16" s="94" t="s">
        <v>95</v>
      </c>
      <c r="T16" s="93" t="s">
        <v>96</v>
      </c>
      <c r="X16" s="45" t="s">
        <v>71</v>
      </c>
      <c r="Z16" s="73">
        <f>Y15</f>
        <v>860</v>
      </c>
    </row>
    <row r="17" spans="1:26" x14ac:dyDescent="0.3">
      <c r="A17" s="4" t="s">
        <v>9</v>
      </c>
      <c r="B17" s="5"/>
      <c r="C17" s="5"/>
      <c r="D17" s="5"/>
      <c r="E17" s="10"/>
      <c r="F17" s="59"/>
      <c r="G17" s="58"/>
      <c r="I17" s="34"/>
      <c r="J17" s="35" t="s">
        <v>43</v>
      </c>
      <c r="K17" s="35"/>
      <c r="L17" s="35"/>
      <c r="M17" s="46">
        <f>SUM(M6:M16)</f>
        <v>56184</v>
      </c>
      <c r="N17" s="47"/>
      <c r="O17" s="79"/>
      <c r="Q17" s="91" t="s">
        <v>97</v>
      </c>
      <c r="R17" s="94"/>
      <c r="S17" s="94"/>
      <c r="T17" s="93">
        <v>0</v>
      </c>
      <c r="Z17" s="72"/>
    </row>
    <row r="18" spans="1:26" ht="18" x14ac:dyDescent="0.3">
      <c r="A18" s="4" t="s">
        <v>10</v>
      </c>
      <c r="B18" s="5"/>
      <c r="C18" s="5"/>
      <c r="D18" s="5"/>
      <c r="E18" s="10"/>
      <c r="F18" s="59"/>
      <c r="G18" s="58"/>
      <c r="I18" s="34"/>
      <c r="J18" s="35" t="s">
        <v>63</v>
      </c>
      <c r="K18" s="35"/>
      <c r="L18" s="35"/>
      <c r="M18" s="46">
        <f>-Z12</f>
        <v>-11055</v>
      </c>
      <c r="N18" s="55" t="s">
        <v>76</v>
      </c>
      <c r="O18" s="79"/>
      <c r="P18" s="54"/>
      <c r="Q18" s="91" t="s">
        <v>105</v>
      </c>
      <c r="R18" s="93">
        <f>D44</f>
        <v>860</v>
      </c>
      <c r="S18" s="95"/>
      <c r="T18" s="93">
        <f>T17+R18-S18</f>
        <v>860</v>
      </c>
      <c r="W18" s="45" t="s">
        <v>69</v>
      </c>
      <c r="Y18" s="71">
        <f>Z19</f>
        <v>410</v>
      </c>
      <c r="Z18" s="72"/>
    </row>
    <row r="19" spans="1:26" ht="18" x14ac:dyDescent="0.3">
      <c r="A19" s="4"/>
      <c r="B19" s="5" t="s">
        <v>11</v>
      </c>
      <c r="C19" s="5"/>
      <c r="D19" s="19">
        <v>48005</v>
      </c>
      <c r="E19" s="20">
        <v>49803</v>
      </c>
      <c r="F19" s="59">
        <f>D19-E19</f>
        <v>-1798</v>
      </c>
      <c r="G19" s="58" t="s">
        <v>21</v>
      </c>
      <c r="I19" s="34"/>
      <c r="J19" s="35" t="s">
        <v>47</v>
      </c>
      <c r="K19" s="36"/>
      <c r="L19" s="36"/>
      <c r="M19" s="48">
        <f>S19</f>
        <v>410</v>
      </c>
      <c r="N19" s="56" t="s">
        <v>77</v>
      </c>
      <c r="O19" s="79"/>
      <c r="Q19" s="92" t="s">
        <v>101</v>
      </c>
      <c r="R19" s="96"/>
      <c r="S19" s="97">
        <f>T18-T20</f>
        <v>410</v>
      </c>
      <c r="T19" s="93">
        <f>T18+R19-S19</f>
        <v>450</v>
      </c>
      <c r="X19" s="45" t="str">
        <f>W15</f>
        <v>Interest Income Receivables</v>
      </c>
      <c r="Z19" s="73">
        <f>S19</f>
        <v>410</v>
      </c>
    </row>
    <row r="20" spans="1:26" x14ac:dyDescent="0.3">
      <c r="A20" s="4"/>
      <c r="B20" s="5" t="s">
        <v>44</v>
      </c>
      <c r="C20" s="5"/>
      <c r="D20" s="23">
        <v>15000</v>
      </c>
      <c r="E20" s="25">
        <v>12000</v>
      </c>
      <c r="F20" s="59">
        <f>D20-E20</f>
        <v>3000</v>
      </c>
      <c r="G20" s="58" t="s">
        <v>21</v>
      </c>
      <c r="I20" s="34"/>
      <c r="J20" s="35" t="s">
        <v>46</v>
      </c>
      <c r="K20" s="35"/>
      <c r="L20" s="35"/>
      <c r="M20" s="46"/>
      <c r="N20" s="49">
        <f>M17+M18+M19</f>
        <v>45539</v>
      </c>
      <c r="O20" s="80"/>
      <c r="Q20" s="91" t="s">
        <v>99</v>
      </c>
      <c r="R20" s="96"/>
      <c r="S20" s="94"/>
      <c r="T20" s="93">
        <f>D10</f>
        <v>450</v>
      </c>
      <c r="Z20" s="72"/>
    </row>
    <row r="21" spans="1:26" x14ac:dyDescent="0.3">
      <c r="A21" s="4"/>
      <c r="B21" s="5" t="s">
        <v>12</v>
      </c>
      <c r="C21" s="5"/>
      <c r="D21" s="21">
        <f>44403-D20</f>
        <v>29403</v>
      </c>
      <c r="E21" s="22">
        <f>41799-E20</f>
        <v>29799</v>
      </c>
      <c r="F21" s="59">
        <f>D21-E21</f>
        <v>-396</v>
      </c>
      <c r="G21" s="58" t="s">
        <v>21</v>
      </c>
      <c r="I21" s="34"/>
      <c r="J21" s="35"/>
      <c r="K21" s="35"/>
      <c r="L21" s="35"/>
      <c r="M21" s="46"/>
      <c r="N21" s="49"/>
      <c r="O21" s="80"/>
      <c r="Q21" s="31"/>
      <c r="R21" s="31"/>
      <c r="S21" s="31"/>
      <c r="T21" s="31"/>
      <c r="U21" s="31"/>
      <c r="V21" s="31"/>
      <c r="W21" s="74"/>
      <c r="X21" s="74"/>
      <c r="Y21" s="74"/>
      <c r="Z21" s="76"/>
    </row>
    <row r="22" spans="1:26" x14ac:dyDescent="0.3">
      <c r="A22" s="4" t="s">
        <v>13</v>
      </c>
      <c r="B22" s="5"/>
      <c r="C22" s="5"/>
      <c r="D22" s="23">
        <f>SUM(D19:D21)</f>
        <v>92408</v>
      </c>
      <c r="E22" s="24">
        <f>SUM(E19:E21)</f>
        <v>91602</v>
      </c>
      <c r="F22" s="59"/>
      <c r="G22" s="58"/>
      <c r="I22" s="34" t="s">
        <v>48</v>
      </c>
      <c r="J22" s="35"/>
      <c r="K22" s="35"/>
      <c r="L22" s="35"/>
      <c r="M22" s="46"/>
      <c r="N22" s="49"/>
      <c r="O22" s="80"/>
      <c r="Q22" s="66"/>
      <c r="R22" s="66"/>
      <c r="S22" s="66"/>
      <c r="T22" s="66"/>
      <c r="U22" s="66"/>
      <c r="W22" s="65"/>
      <c r="X22" s="65"/>
      <c r="Y22" s="65"/>
      <c r="Z22" s="68"/>
    </row>
    <row r="23" spans="1:26" ht="18" x14ac:dyDescent="0.3">
      <c r="A23" s="4" t="s">
        <v>15</v>
      </c>
      <c r="B23" s="5"/>
      <c r="C23" s="5"/>
      <c r="D23" s="5"/>
      <c r="E23" s="10"/>
      <c r="F23" s="59"/>
      <c r="G23" s="58"/>
      <c r="I23" s="34"/>
      <c r="J23" s="35" t="s">
        <v>55</v>
      </c>
      <c r="K23" s="35"/>
      <c r="L23" s="35"/>
      <c r="M23" s="46">
        <f>T41</f>
        <v>1009</v>
      </c>
      <c r="N23" s="55" t="s">
        <v>90</v>
      </c>
      <c r="O23" s="79"/>
      <c r="Q23" s="86" t="s">
        <v>102</v>
      </c>
      <c r="W23" s="45" t="s">
        <v>50</v>
      </c>
      <c r="Y23" s="71">
        <v>10000</v>
      </c>
      <c r="Z23" s="72"/>
    </row>
    <row r="24" spans="1:26" ht="18" x14ac:dyDescent="0.3">
      <c r="A24" s="4"/>
      <c r="B24" s="5" t="s">
        <v>37</v>
      </c>
      <c r="C24" s="5"/>
      <c r="D24" s="23">
        <v>9803</v>
      </c>
      <c r="E24" s="25">
        <v>9158</v>
      </c>
      <c r="F24" s="59">
        <f>D24-E24</f>
        <v>645</v>
      </c>
      <c r="G24" s="58" t="s">
        <v>23</v>
      </c>
      <c r="I24" s="34"/>
      <c r="J24" s="35" t="s">
        <v>56</v>
      </c>
      <c r="K24" s="35"/>
      <c r="L24" s="35"/>
      <c r="M24" s="48">
        <f>-Z24</f>
        <v>-10000</v>
      </c>
      <c r="N24" s="56" t="s">
        <v>90</v>
      </c>
      <c r="O24" s="79"/>
      <c r="Q24" s="104" t="s">
        <v>50</v>
      </c>
      <c r="R24" s="104"/>
      <c r="S24" s="104"/>
      <c r="T24" s="104"/>
      <c r="X24" s="45" t="s">
        <v>72</v>
      </c>
      <c r="Z24" s="73">
        <f>Y23</f>
        <v>10000</v>
      </c>
    </row>
    <row r="25" spans="1:26" x14ac:dyDescent="0.3">
      <c r="A25" s="4"/>
      <c r="B25" s="5" t="s">
        <v>14</v>
      </c>
      <c r="C25" s="5"/>
      <c r="D25" s="26">
        <v>160659</v>
      </c>
      <c r="E25" s="27">
        <v>135467</v>
      </c>
      <c r="F25" s="59">
        <f>D25-E25</f>
        <v>25192</v>
      </c>
      <c r="G25" s="58"/>
      <c r="I25" s="34"/>
      <c r="J25" s="35" t="s">
        <v>57</v>
      </c>
      <c r="K25" s="35"/>
      <c r="L25" s="35"/>
      <c r="M25" s="46"/>
      <c r="N25" s="49">
        <f>M22+M23+M24</f>
        <v>-8991</v>
      </c>
      <c r="O25" s="80"/>
      <c r="Q25" s="91"/>
      <c r="R25" s="93" t="s">
        <v>94</v>
      </c>
      <c r="S25" s="94" t="s">
        <v>95</v>
      </c>
      <c r="T25" s="93" t="s">
        <v>96</v>
      </c>
      <c r="W25" s="77" t="s">
        <v>73</v>
      </c>
      <c r="Z25" s="72"/>
    </row>
    <row r="26" spans="1:26" x14ac:dyDescent="0.3">
      <c r="A26" s="4" t="s">
        <v>16</v>
      </c>
      <c r="B26" s="5"/>
      <c r="C26" s="5"/>
      <c r="D26" s="23">
        <f>SUM(D24:D25)</f>
        <v>170462</v>
      </c>
      <c r="E26" s="25">
        <f>SUM(E24:E25)</f>
        <v>144625</v>
      </c>
      <c r="F26" s="59"/>
      <c r="G26" s="58"/>
      <c r="I26" s="34"/>
      <c r="J26" s="35"/>
      <c r="K26" s="35"/>
      <c r="L26" s="35"/>
      <c r="M26" s="46"/>
      <c r="N26" s="49"/>
      <c r="O26" s="80"/>
      <c r="Q26" s="91" t="s">
        <v>97</v>
      </c>
      <c r="R26" s="94"/>
      <c r="S26" s="94"/>
      <c r="T26" s="93">
        <f>E13</f>
        <v>100000</v>
      </c>
      <c r="Z26" s="72"/>
    </row>
    <row r="27" spans="1:26" ht="16.2" thickBot="1" x14ac:dyDescent="0.35">
      <c r="A27" s="4" t="s">
        <v>17</v>
      </c>
      <c r="B27" s="5"/>
      <c r="C27" s="5"/>
      <c r="D27" s="28">
        <f>D22+D26</f>
        <v>262870</v>
      </c>
      <c r="E27" s="29">
        <f>E22+E26</f>
        <v>236227</v>
      </c>
      <c r="F27" s="59"/>
      <c r="G27" s="58"/>
      <c r="I27" s="34" t="s">
        <v>58</v>
      </c>
      <c r="J27" s="35"/>
      <c r="K27" s="35"/>
      <c r="L27" s="35"/>
      <c r="M27" s="46"/>
      <c r="N27" s="49"/>
      <c r="O27" s="80"/>
      <c r="Q27" s="92" t="s">
        <v>52</v>
      </c>
      <c r="R27" s="96">
        <f>Y23</f>
        <v>10000</v>
      </c>
      <c r="S27" s="95"/>
      <c r="T27" s="93">
        <f>T26+R27-S27</f>
        <v>110000</v>
      </c>
      <c r="W27" s="45" t="s">
        <v>72</v>
      </c>
      <c r="Y27" s="71">
        <f>T41</f>
        <v>1009</v>
      </c>
      <c r="Z27" s="72"/>
    </row>
    <row r="28" spans="1:26" ht="19.2" thickTop="1" thickBot="1" x14ac:dyDescent="0.35">
      <c r="A28" s="41"/>
      <c r="B28" s="42"/>
      <c r="C28" s="42"/>
      <c r="D28" s="42"/>
      <c r="E28" s="43"/>
      <c r="F28" s="60"/>
      <c r="G28" s="61"/>
      <c r="I28" s="34"/>
      <c r="J28" s="35" t="s">
        <v>59</v>
      </c>
      <c r="K28" s="35"/>
      <c r="L28" s="35"/>
      <c r="M28" s="46">
        <f>S47</f>
        <v>645</v>
      </c>
      <c r="N28" s="55" t="s">
        <v>91</v>
      </c>
      <c r="O28" s="79"/>
      <c r="Q28" s="98" t="s">
        <v>53</v>
      </c>
      <c r="R28" s="99"/>
      <c r="S28" s="100">
        <f>T27-T29</f>
        <v>30000</v>
      </c>
      <c r="T28" s="93">
        <f>T27+R28-S28</f>
        <v>80000</v>
      </c>
      <c r="W28" s="45" t="s">
        <v>51</v>
      </c>
      <c r="Y28" s="71">
        <f>R34</f>
        <v>26491</v>
      </c>
      <c r="Z28" s="72"/>
    </row>
    <row r="29" spans="1:26" ht="18" x14ac:dyDescent="0.3">
      <c r="D29" s="101">
        <f>D15-D27</f>
        <v>0</v>
      </c>
      <c r="I29" s="34"/>
      <c r="J29" s="35" t="s">
        <v>65</v>
      </c>
      <c r="K29" s="35"/>
      <c r="L29" s="35"/>
      <c r="M29" s="48">
        <f>-R55</f>
        <v>-7550</v>
      </c>
      <c r="N29" s="56" t="s">
        <v>92</v>
      </c>
      <c r="O29" s="79"/>
      <c r="Q29" s="91" t="s">
        <v>99</v>
      </c>
      <c r="R29" s="96"/>
      <c r="S29" s="94"/>
      <c r="T29" s="93">
        <f>D13</f>
        <v>80000</v>
      </c>
      <c r="W29" s="45" t="s">
        <v>41</v>
      </c>
      <c r="Y29" s="71">
        <f>-D43</f>
        <v>2500</v>
      </c>
      <c r="Z29" s="72"/>
    </row>
    <row r="30" spans="1:26" ht="16.2" thickBot="1" x14ac:dyDescent="0.35">
      <c r="A30" s="44"/>
      <c r="B30" s="44"/>
      <c r="C30" s="44"/>
      <c r="D30" s="44"/>
      <c r="I30" s="34"/>
      <c r="J30" s="35" t="s">
        <v>60</v>
      </c>
      <c r="K30" s="35"/>
      <c r="L30" s="35"/>
      <c r="M30" s="46"/>
      <c r="N30" s="49">
        <f>SUM(M28:M29)</f>
        <v>-6905</v>
      </c>
      <c r="O30" s="79"/>
      <c r="Q30" s="104" t="s">
        <v>51</v>
      </c>
      <c r="R30" s="104"/>
      <c r="S30" s="104"/>
      <c r="T30" s="104"/>
      <c r="X30" s="45" t="s">
        <v>50</v>
      </c>
      <c r="Z30" s="73">
        <f>S28</f>
        <v>30000</v>
      </c>
    </row>
    <row r="31" spans="1:26" x14ac:dyDescent="0.3">
      <c r="A31" s="111" t="str">
        <f>A1</f>
        <v>Rizz Tea Company</v>
      </c>
      <c r="B31" s="112"/>
      <c r="C31" s="112"/>
      <c r="D31" s="113"/>
      <c r="I31" s="34"/>
      <c r="J31" s="35"/>
      <c r="K31" s="35"/>
      <c r="L31" s="35"/>
      <c r="M31" s="48"/>
      <c r="N31" s="50"/>
      <c r="O31" s="80"/>
      <c r="Q31" s="91"/>
      <c r="R31" s="93" t="s">
        <v>94</v>
      </c>
      <c r="S31" s="94" t="s">
        <v>95</v>
      </c>
      <c r="T31" s="93" t="s">
        <v>96</v>
      </c>
      <c r="W31" s="77" t="s">
        <v>74</v>
      </c>
      <c r="Z31" s="72"/>
    </row>
    <row r="32" spans="1:26" x14ac:dyDescent="0.3">
      <c r="A32" s="108" t="s">
        <v>108</v>
      </c>
      <c r="B32" s="109"/>
      <c r="C32" s="109"/>
      <c r="D32" s="110"/>
      <c r="I32" s="34" t="s">
        <v>61</v>
      </c>
      <c r="J32" s="35"/>
      <c r="K32" s="35"/>
      <c r="L32" s="35"/>
      <c r="M32" s="46"/>
      <c r="N32" s="49">
        <f>N20+N25+N30</f>
        <v>29643</v>
      </c>
      <c r="O32" s="80"/>
      <c r="Q32" s="91" t="s">
        <v>97</v>
      </c>
      <c r="R32" s="94"/>
      <c r="S32" s="94"/>
      <c r="T32" s="93">
        <f>-E14</f>
        <v>18219</v>
      </c>
      <c r="Z32" s="72"/>
    </row>
    <row r="33" spans="1:26" x14ac:dyDescent="0.3">
      <c r="A33" s="108" t="s">
        <v>114</v>
      </c>
      <c r="B33" s="109"/>
      <c r="C33" s="109"/>
      <c r="D33" s="110"/>
      <c r="I33" s="34" t="s">
        <v>62</v>
      </c>
      <c r="J33" s="35"/>
      <c r="K33" s="35"/>
      <c r="L33" s="35"/>
      <c r="M33" s="46"/>
      <c r="N33" s="49">
        <f>E7</f>
        <v>54497</v>
      </c>
      <c r="O33" s="80"/>
      <c r="Q33" s="91" t="s">
        <v>106</v>
      </c>
      <c r="R33" s="93"/>
      <c r="S33" s="99">
        <f>-D40</f>
        <v>8891</v>
      </c>
      <c r="T33" s="93">
        <f>T32+S33-R33</f>
        <v>27110</v>
      </c>
      <c r="W33" s="45" t="s">
        <v>38</v>
      </c>
      <c r="Y33" s="71">
        <f>-D40</f>
        <v>8891</v>
      </c>
      <c r="Z33" s="72"/>
    </row>
    <row r="34" spans="1:26" ht="16.2" thickBot="1" x14ac:dyDescent="0.35">
      <c r="A34" s="30"/>
      <c r="B34" s="39"/>
      <c r="C34" s="39"/>
      <c r="D34" s="32" t="s">
        <v>110</v>
      </c>
      <c r="I34" s="34" t="s">
        <v>75</v>
      </c>
      <c r="J34" s="35"/>
      <c r="K34" s="35"/>
      <c r="L34" s="35"/>
      <c r="M34" s="51"/>
      <c r="N34" s="52">
        <f>SUM(N32:N33)</f>
        <v>84140</v>
      </c>
      <c r="O34" s="80"/>
      <c r="Q34" s="98" t="s">
        <v>53</v>
      </c>
      <c r="R34" s="99">
        <v>26491</v>
      </c>
      <c r="S34" s="100"/>
      <c r="T34" s="93">
        <f>T33+S34-R34</f>
        <v>619</v>
      </c>
      <c r="X34" s="45" t="s">
        <v>51</v>
      </c>
      <c r="Z34" s="73">
        <f>Y33</f>
        <v>8891</v>
      </c>
    </row>
    <row r="35" spans="1:26" ht="16.8" thickTop="1" thickBot="1" x14ac:dyDescent="0.35">
      <c r="A35" s="4" t="s">
        <v>24</v>
      </c>
      <c r="B35" s="5"/>
      <c r="C35" s="5"/>
      <c r="D35" s="20">
        <f>575177+2500+8000</f>
        <v>585677</v>
      </c>
      <c r="I35" s="41"/>
      <c r="J35" s="42"/>
      <c r="K35" s="42"/>
      <c r="L35" s="42"/>
      <c r="M35" s="42"/>
      <c r="N35" s="43"/>
      <c r="O35" s="80"/>
      <c r="Q35" s="91" t="s">
        <v>99</v>
      </c>
      <c r="R35" s="96"/>
      <c r="S35" s="94"/>
      <c r="T35" s="93">
        <f>-D14</f>
        <v>619</v>
      </c>
      <c r="Z35" s="72"/>
    </row>
    <row r="36" spans="1:26" x14ac:dyDescent="0.3">
      <c r="A36" s="4" t="s">
        <v>25</v>
      </c>
      <c r="B36" s="5"/>
      <c r="C36" s="5"/>
      <c r="D36" s="16">
        <v>-405322</v>
      </c>
      <c r="N36" s="80">
        <f>N34-D7</f>
        <v>0</v>
      </c>
    </row>
    <row r="37" spans="1:26" x14ac:dyDescent="0.3">
      <c r="A37" s="4" t="s">
        <v>26</v>
      </c>
      <c r="B37" s="5"/>
      <c r="C37" s="5"/>
      <c r="D37" s="14">
        <f>SUM(D35:D36)</f>
        <v>180355</v>
      </c>
      <c r="Q37" s="45" t="s">
        <v>107</v>
      </c>
      <c r="R37" s="87"/>
      <c r="S37" s="87"/>
      <c r="T37" s="87">
        <f>D43</f>
        <v>-2500</v>
      </c>
    </row>
    <row r="38" spans="1:26" x14ac:dyDescent="0.3">
      <c r="A38" s="4" t="s">
        <v>27</v>
      </c>
      <c r="B38" s="5"/>
      <c r="C38" s="5"/>
      <c r="D38" s="14"/>
      <c r="Q38" s="45" t="s">
        <v>80</v>
      </c>
      <c r="R38" s="87"/>
      <c r="S38" s="87">
        <f>S28</f>
        <v>30000</v>
      </c>
      <c r="T38" s="87"/>
    </row>
    <row r="39" spans="1:26" x14ac:dyDescent="0.3">
      <c r="A39" s="33" t="s">
        <v>28</v>
      </c>
      <c r="B39" s="5"/>
      <c r="C39" s="5"/>
      <c r="D39" s="14">
        <v>-123027</v>
      </c>
      <c r="Q39" s="45" t="s">
        <v>81</v>
      </c>
      <c r="R39" s="87"/>
      <c r="S39" s="81">
        <f>-R34</f>
        <v>-26491</v>
      </c>
      <c r="T39" s="81"/>
    </row>
    <row r="40" spans="1:26" x14ac:dyDescent="0.3">
      <c r="A40" s="33" t="s">
        <v>49</v>
      </c>
      <c r="B40" s="5"/>
      <c r="C40" s="5"/>
      <c r="D40" s="16">
        <v>-8891</v>
      </c>
      <c r="Q40" s="45" t="s">
        <v>82</v>
      </c>
      <c r="R40" s="87"/>
      <c r="S40" s="87"/>
      <c r="T40" s="87">
        <f>SUM(S38:S39)</f>
        <v>3509</v>
      </c>
    </row>
    <row r="41" spans="1:26" ht="16.2" thickBot="1" x14ac:dyDescent="0.35">
      <c r="A41" s="4" t="s">
        <v>29</v>
      </c>
      <c r="B41" s="5"/>
      <c r="C41" s="5"/>
      <c r="D41" s="89">
        <f>D39+D40</f>
        <v>-131918</v>
      </c>
      <c r="Q41" s="82" t="s">
        <v>83</v>
      </c>
      <c r="R41" s="88"/>
      <c r="S41" s="88"/>
      <c r="T41" s="83">
        <f>SUM(T37:T40)</f>
        <v>1009</v>
      </c>
    </row>
    <row r="42" spans="1:26" ht="16.2" thickTop="1" x14ac:dyDescent="0.3">
      <c r="A42" s="4" t="s">
        <v>30</v>
      </c>
      <c r="B42" s="5"/>
      <c r="C42" s="5"/>
      <c r="D42" s="14">
        <f>D37+D41</f>
        <v>48437</v>
      </c>
    </row>
    <row r="43" spans="1:26" x14ac:dyDescent="0.3">
      <c r="A43" s="33" t="s">
        <v>40</v>
      </c>
      <c r="B43" s="5"/>
      <c r="C43" s="5"/>
      <c r="D43" s="14">
        <v>-2500</v>
      </c>
      <c r="Q43" s="86" t="s">
        <v>84</v>
      </c>
    </row>
    <row r="44" spans="1:26" x14ac:dyDescent="0.3">
      <c r="A44" s="33" t="s">
        <v>31</v>
      </c>
      <c r="B44" s="5"/>
      <c r="C44" s="5"/>
      <c r="D44" s="16">
        <v>860</v>
      </c>
      <c r="Q44" s="104" t="str">
        <f>B24</f>
        <v>Share Capital</v>
      </c>
      <c r="R44" s="104"/>
      <c r="S44" s="104"/>
      <c r="T44" s="104"/>
    </row>
    <row r="45" spans="1:26" x14ac:dyDescent="0.3">
      <c r="A45" s="4" t="s">
        <v>33</v>
      </c>
      <c r="B45" s="5"/>
      <c r="C45" s="5"/>
      <c r="D45" s="14">
        <f>SUM(D42:D44)</f>
        <v>46797</v>
      </c>
      <c r="Q45" s="91"/>
      <c r="R45" s="93" t="s">
        <v>94</v>
      </c>
      <c r="S45" s="94" t="s">
        <v>95</v>
      </c>
      <c r="T45" s="93" t="s">
        <v>96</v>
      </c>
      <c r="W45" s="45" t="s">
        <v>69</v>
      </c>
      <c r="Y45" s="71">
        <f>Z46</f>
        <v>645</v>
      </c>
    </row>
    <row r="46" spans="1:26" x14ac:dyDescent="0.3">
      <c r="A46" s="33" t="s">
        <v>34</v>
      </c>
      <c r="B46" s="5"/>
      <c r="C46" s="5"/>
      <c r="D46" s="16">
        <v>-14055</v>
      </c>
      <c r="Q46" s="91" t="s">
        <v>97</v>
      </c>
      <c r="R46" s="94"/>
      <c r="S46" s="94"/>
      <c r="T46" s="93">
        <f>E24</f>
        <v>9158</v>
      </c>
      <c r="X46" s="45" t="s">
        <v>37</v>
      </c>
      <c r="Z46" s="71">
        <f>S47</f>
        <v>645</v>
      </c>
    </row>
    <row r="47" spans="1:26" ht="16.2" thickBot="1" x14ac:dyDescent="0.35">
      <c r="A47" s="4" t="s">
        <v>32</v>
      </c>
      <c r="B47" s="5"/>
      <c r="C47" s="5"/>
      <c r="D47" s="90">
        <f>SUM(D45:D46)</f>
        <v>32742</v>
      </c>
      <c r="E47" s="80"/>
      <c r="Q47" s="92" t="s">
        <v>103</v>
      </c>
      <c r="R47" s="96"/>
      <c r="S47" s="96">
        <f>T48-T46</f>
        <v>645</v>
      </c>
      <c r="T47" s="93">
        <f>T46+S47-R47</f>
        <v>9803</v>
      </c>
    </row>
    <row r="48" spans="1:26" ht="16.8" thickTop="1" thickBot="1" x14ac:dyDescent="0.35">
      <c r="A48" s="41"/>
      <c r="B48" s="42"/>
      <c r="C48" s="42"/>
      <c r="D48" s="43"/>
      <c r="Q48" s="91" t="s">
        <v>99</v>
      </c>
      <c r="R48" s="96"/>
      <c r="S48" s="94"/>
      <c r="T48" s="93">
        <f>D24</f>
        <v>9803</v>
      </c>
    </row>
    <row r="50" spans="1:26" x14ac:dyDescent="0.3">
      <c r="A50" s="62" t="s">
        <v>79</v>
      </c>
      <c r="Q50" s="86" t="s">
        <v>87</v>
      </c>
    </row>
    <row r="51" spans="1:26" x14ac:dyDescent="0.3">
      <c r="A51" s="63" t="s">
        <v>116</v>
      </c>
      <c r="Q51" s="104" t="str">
        <f>B25</f>
        <v>Retained earnings</v>
      </c>
      <c r="R51" s="104"/>
      <c r="S51" s="104"/>
      <c r="T51" s="104"/>
    </row>
    <row r="52" spans="1:26" x14ac:dyDescent="0.3">
      <c r="A52" s="63" t="s">
        <v>117</v>
      </c>
      <c r="Q52" s="91"/>
      <c r="R52" s="93" t="s">
        <v>94</v>
      </c>
      <c r="S52" s="94" t="s">
        <v>95</v>
      </c>
      <c r="T52" s="93" t="s">
        <v>96</v>
      </c>
      <c r="W52" s="45" t="s">
        <v>89</v>
      </c>
      <c r="Y52" s="71">
        <f>R55</f>
        <v>7550</v>
      </c>
    </row>
    <row r="53" spans="1:26" x14ac:dyDescent="0.3">
      <c r="A53" s="63" t="s">
        <v>85</v>
      </c>
      <c r="Q53" s="91" t="s">
        <v>97</v>
      </c>
      <c r="R53" s="94"/>
      <c r="S53" s="94"/>
      <c r="T53" s="93">
        <f>E25</f>
        <v>135467</v>
      </c>
      <c r="X53" s="45" t="s">
        <v>69</v>
      </c>
      <c r="Z53" s="71">
        <f>Y52</f>
        <v>7550</v>
      </c>
    </row>
    <row r="54" spans="1:26" x14ac:dyDescent="0.3">
      <c r="A54" s="63" t="s">
        <v>86</v>
      </c>
      <c r="Q54" s="91" t="s">
        <v>88</v>
      </c>
      <c r="R54" s="94"/>
      <c r="S54" s="95">
        <f>D47</f>
        <v>32742</v>
      </c>
      <c r="T54" s="93">
        <f>T53+S54-R54</f>
        <v>168209</v>
      </c>
    </row>
    <row r="55" spans="1:26" x14ac:dyDescent="0.3">
      <c r="Q55" s="92" t="s">
        <v>89</v>
      </c>
      <c r="R55" s="96">
        <f>T54-T56</f>
        <v>7550</v>
      </c>
      <c r="S55" s="96"/>
      <c r="T55" s="93">
        <f>T54+S55-R55</f>
        <v>160659</v>
      </c>
    </row>
    <row r="56" spans="1:26" x14ac:dyDescent="0.3">
      <c r="Q56" s="91" t="s">
        <v>99</v>
      </c>
      <c r="R56" s="96"/>
      <c r="S56" s="94"/>
      <c r="T56" s="93">
        <f>D25</f>
        <v>160659</v>
      </c>
    </row>
  </sheetData>
  <mergeCells count="20">
    <mergeCell ref="A33:D33"/>
    <mergeCell ref="A1:E1"/>
    <mergeCell ref="F1:G2"/>
    <mergeCell ref="I1:N1"/>
    <mergeCell ref="A2:E2"/>
    <mergeCell ref="I2:N2"/>
    <mergeCell ref="A3:E3"/>
    <mergeCell ref="F3:F4"/>
    <mergeCell ref="G3:G4"/>
    <mergeCell ref="I3:N3"/>
    <mergeCell ref="A31:D31"/>
    <mergeCell ref="A32:D32"/>
    <mergeCell ref="Q44:T44"/>
    <mergeCell ref="Q51:T51"/>
    <mergeCell ref="Q30:T30"/>
    <mergeCell ref="Q5:U5"/>
    <mergeCell ref="W5:Z5"/>
    <mergeCell ref="Q15:T15"/>
    <mergeCell ref="Q7:T7"/>
    <mergeCell ref="Q24:T24"/>
  </mergeCells>
  <pageMargins left="0.7" right="0.7" top="0.75" bottom="0.75" header="0.3" footer="0.3"/>
  <pageSetup paperSize="9" orientation="portrait" r:id="rId1"/>
  <ignoredErrors>
    <ignoredError sqref="D34 D4:E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E774-FF1B-44E9-B53B-33853439229E}">
  <dimension ref="A1:V56"/>
  <sheetViews>
    <sheetView topLeftCell="E1" zoomScaleNormal="100" workbookViewId="0">
      <selection activeCell="E64" sqref="E64"/>
    </sheetView>
  </sheetViews>
  <sheetFormatPr defaultColWidth="8.88671875" defaultRowHeight="15.6" x14ac:dyDescent="0.3"/>
  <cols>
    <col min="1" max="1" width="6.21875" style="3" customWidth="1"/>
    <col min="2" max="2" width="26.21875" style="3" customWidth="1"/>
    <col min="3" max="3" width="8.88671875" style="3"/>
    <col min="4" max="4" width="14.109375" style="3" customWidth="1"/>
    <col min="5" max="5" width="15" style="3" customWidth="1"/>
    <col min="6" max="7" width="12" style="2" customWidth="1"/>
    <col min="8" max="8" width="8.88671875" style="1"/>
    <col min="9" max="9" width="4.44140625" style="3" customWidth="1"/>
    <col min="10" max="10" width="5" style="3" customWidth="1"/>
    <col min="11" max="11" width="4.44140625" style="3" customWidth="1"/>
    <col min="12" max="12" width="41.88671875" style="3" customWidth="1"/>
    <col min="13" max="15" width="10.77734375" style="3" customWidth="1"/>
    <col min="16" max="16" width="1" style="53" customWidth="1"/>
    <col min="17" max="17" width="24.77734375" style="36" customWidth="1"/>
    <col min="18" max="18" width="12.44140625" style="36" bestFit="1" customWidth="1"/>
    <col min="19" max="19" width="15" style="36" bestFit="1" customWidth="1"/>
    <col min="20" max="20" width="12.6640625" style="36" customWidth="1"/>
    <col min="21" max="21" width="0.88671875" style="36" customWidth="1"/>
    <col min="22" max="22" width="0.88671875" style="53" customWidth="1"/>
    <col min="23" max="16384" width="8.88671875" style="1"/>
  </cols>
  <sheetData>
    <row r="1" spans="1:21" x14ac:dyDescent="0.3">
      <c r="A1" s="111" t="s">
        <v>113</v>
      </c>
      <c r="B1" s="112"/>
      <c r="C1" s="112"/>
      <c r="D1" s="112"/>
      <c r="E1" s="113"/>
      <c r="F1" s="114" t="s">
        <v>18</v>
      </c>
      <c r="G1" s="115"/>
      <c r="I1" s="111" t="s">
        <v>113</v>
      </c>
      <c r="J1" s="112"/>
      <c r="K1" s="112"/>
      <c r="L1" s="112"/>
      <c r="M1" s="112"/>
      <c r="N1" s="113"/>
      <c r="O1" s="2"/>
    </row>
    <row r="2" spans="1:21" ht="15.6" customHeight="1" x14ac:dyDescent="0.3">
      <c r="A2" s="108" t="s">
        <v>0</v>
      </c>
      <c r="B2" s="109"/>
      <c r="C2" s="109"/>
      <c r="D2" s="109"/>
      <c r="E2" s="110"/>
      <c r="F2" s="116"/>
      <c r="G2" s="117"/>
      <c r="I2" s="108" t="s">
        <v>64</v>
      </c>
      <c r="J2" s="109"/>
      <c r="K2" s="109"/>
      <c r="L2" s="109"/>
      <c r="M2" s="109"/>
      <c r="N2" s="110"/>
      <c r="O2" s="2"/>
    </row>
    <row r="3" spans="1:21" x14ac:dyDescent="0.3">
      <c r="A3" s="108" t="s">
        <v>112</v>
      </c>
      <c r="B3" s="109"/>
      <c r="C3" s="109"/>
      <c r="D3" s="109"/>
      <c r="E3" s="110"/>
      <c r="F3" s="118" t="s">
        <v>19</v>
      </c>
      <c r="G3" s="120" t="s">
        <v>20</v>
      </c>
      <c r="I3" s="108" t="s">
        <v>114</v>
      </c>
      <c r="J3" s="109"/>
      <c r="K3" s="109"/>
      <c r="L3" s="109"/>
      <c r="M3" s="109"/>
      <c r="N3" s="110"/>
      <c r="O3" s="2"/>
    </row>
    <row r="4" spans="1:21" x14ac:dyDescent="0.3">
      <c r="A4" s="6"/>
      <c r="B4" s="7"/>
      <c r="C4" s="7"/>
      <c r="D4" s="8" t="s">
        <v>110</v>
      </c>
      <c r="E4" s="9" t="s">
        <v>111</v>
      </c>
      <c r="F4" s="119"/>
      <c r="G4" s="121"/>
      <c r="I4" s="38"/>
      <c r="J4" s="39"/>
      <c r="K4" s="39"/>
      <c r="L4" s="39"/>
      <c r="M4" s="31"/>
      <c r="N4" s="40"/>
      <c r="O4" s="78"/>
    </row>
    <row r="5" spans="1:21" x14ac:dyDescent="0.3">
      <c r="A5" s="4" t="s">
        <v>1</v>
      </c>
      <c r="B5" s="5"/>
      <c r="C5" s="5"/>
      <c r="D5" s="5"/>
      <c r="E5" s="10"/>
      <c r="F5" s="57"/>
      <c r="G5" s="58"/>
      <c r="I5" s="34" t="s">
        <v>35</v>
      </c>
      <c r="J5" s="35"/>
      <c r="K5" s="35"/>
      <c r="L5" s="35"/>
      <c r="M5" s="36"/>
      <c r="N5" s="37"/>
      <c r="Q5" s="105" t="s">
        <v>93</v>
      </c>
      <c r="R5" s="105"/>
      <c r="S5" s="105"/>
      <c r="T5" s="105"/>
    </row>
    <row r="6" spans="1:21" x14ac:dyDescent="0.3">
      <c r="A6" s="4" t="s">
        <v>2</v>
      </c>
      <c r="B6" s="5"/>
      <c r="C6" s="5"/>
      <c r="D6" s="5"/>
      <c r="E6" s="10"/>
      <c r="F6" s="57"/>
      <c r="G6" s="58"/>
      <c r="I6" s="34"/>
      <c r="J6" s="35" t="s">
        <v>36</v>
      </c>
      <c r="K6" s="35"/>
      <c r="L6" s="35"/>
      <c r="M6" s="46"/>
      <c r="N6" s="47"/>
      <c r="O6" s="79"/>
      <c r="Q6" s="84" t="s">
        <v>78</v>
      </c>
      <c r="R6" s="64"/>
      <c r="S6" s="65"/>
      <c r="T6" s="64"/>
      <c r="U6" s="66"/>
    </row>
    <row r="7" spans="1:21" x14ac:dyDescent="0.3">
      <c r="A7" s="4"/>
      <c r="B7" s="5" t="s">
        <v>3</v>
      </c>
      <c r="C7" s="5"/>
      <c r="D7" s="11">
        <v>84140</v>
      </c>
      <c r="E7" s="12">
        <f>51497+3000</f>
        <v>54497</v>
      </c>
      <c r="F7" s="59"/>
      <c r="G7" s="58"/>
      <c r="I7" s="34"/>
      <c r="J7" s="35" t="s">
        <v>42</v>
      </c>
      <c r="K7" s="35"/>
      <c r="L7" s="35"/>
      <c r="M7" s="46"/>
      <c r="N7" s="47"/>
      <c r="O7" s="79"/>
      <c r="Q7" s="107" t="s">
        <v>45</v>
      </c>
      <c r="R7" s="107"/>
      <c r="S7" s="107"/>
      <c r="T7" s="107"/>
    </row>
    <row r="8" spans="1:21" x14ac:dyDescent="0.3">
      <c r="A8" s="4"/>
      <c r="B8" s="5" t="s">
        <v>4</v>
      </c>
      <c r="C8" s="5"/>
      <c r="D8" s="13">
        <v>53735</v>
      </c>
      <c r="E8" s="14">
        <v>49186</v>
      </c>
      <c r="F8" s="59"/>
      <c r="G8" s="58"/>
      <c r="I8" s="34"/>
      <c r="J8" s="35"/>
      <c r="K8" s="35" t="s">
        <v>38</v>
      </c>
      <c r="L8" s="35"/>
      <c r="M8" s="46"/>
      <c r="N8" s="47"/>
      <c r="O8" s="79"/>
      <c r="Q8" s="91"/>
      <c r="R8" s="93" t="s">
        <v>94</v>
      </c>
      <c r="S8" s="94" t="s">
        <v>95</v>
      </c>
      <c r="T8" s="93" t="s">
        <v>96</v>
      </c>
    </row>
    <row r="9" spans="1:21" x14ac:dyDescent="0.3">
      <c r="A9" s="4"/>
      <c r="B9" s="5" t="s">
        <v>5</v>
      </c>
      <c r="C9" s="5"/>
      <c r="D9" s="13">
        <v>39612</v>
      </c>
      <c r="E9" s="14">
        <v>38754</v>
      </c>
      <c r="F9" s="59"/>
      <c r="G9" s="58"/>
      <c r="I9" s="34"/>
      <c r="J9" s="35"/>
      <c r="K9" s="35" t="s">
        <v>39</v>
      </c>
      <c r="L9" s="35"/>
      <c r="M9" s="46"/>
      <c r="N9" s="47"/>
      <c r="O9" s="79"/>
      <c r="Q9" s="91" t="s">
        <v>97</v>
      </c>
      <c r="R9" s="94"/>
      <c r="S9" s="94"/>
      <c r="T9" s="93"/>
    </row>
    <row r="10" spans="1:21" x14ac:dyDescent="0.3">
      <c r="A10" s="4"/>
      <c r="B10" s="5" t="s">
        <v>115</v>
      </c>
      <c r="C10" s="5"/>
      <c r="D10" s="13">
        <v>450</v>
      </c>
      <c r="E10" s="14">
        <v>0</v>
      </c>
      <c r="F10" s="59"/>
      <c r="G10" s="58"/>
      <c r="I10" s="34"/>
      <c r="J10" s="35"/>
      <c r="K10" s="35"/>
      <c r="L10" s="35" t="str">
        <f>B8</f>
        <v>Accounts Receivable</v>
      </c>
      <c r="M10" s="46"/>
      <c r="N10" s="47"/>
      <c r="O10" s="79"/>
      <c r="Q10" s="91" t="s">
        <v>104</v>
      </c>
      <c r="R10" s="93"/>
      <c r="S10" s="95"/>
      <c r="T10" s="93"/>
    </row>
    <row r="11" spans="1:21" x14ac:dyDescent="0.3">
      <c r="A11" s="4"/>
      <c r="B11" s="5" t="s">
        <v>6</v>
      </c>
      <c r="C11" s="5"/>
      <c r="D11" s="15">
        <v>5552</v>
      </c>
      <c r="E11" s="16">
        <v>12009</v>
      </c>
      <c r="F11" s="59"/>
      <c r="G11" s="58"/>
      <c r="I11" s="34"/>
      <c r="J11" s="35"/>
      <c r="K11" s="35"/>
      <c r="L11" s="35" t="str">
        <f>B9</f>
        <v>Inventories</v>
      </c>
      <c r="M11" s="46"/>
      <c r="N11" s="47"/>
      <c r="O11" s="79"/>
      <c r="Q11" s="92" t="s">
        <v>98</v>
      </c>
      <c r="R11" s="96"/>
      <c r="S11" s="94"/>
      <c r="T11" s="93"/>
    </row>
    <row r="12" spans="1:21" x14ac:dyDescent="0.3">
      <c r="A12" s="4" t="s">
        <v>7</v>
      </c>
      <c r="B12" s="5"/>
      <c r="C12" s="5"/>
      <c r="D12" s="13">
        <f>SUM(D7:D11)</f>
        <v>183489</v>
      </c>
      <c r="E12" s="14">
        <f>SUM(E7:E11)</f>
        <v>154446</v>
      </c>
      <c r="F12" s="59"/>
      <c r="G12" s="58"/>
      <c r="I12" s="34"/>
      <c r="J12" s="35"/>
      <c r="K12" s="35"/>
      <c r="L12" s="35" t="str">
        <f>B11</f>
        <v>Prepaid expenses</v>
      </c>
      <c r="M12" s="46"/>
      <c r="N12" s="47"/>
      <c r="O12" s="79"/>
      <c r="Q12" s="91" t="s">
        <v>99</v>
      </c>
      <c r="R12" s="96"/>
      <c r="S12" s="94"/>
      <c r="T12" s="93"/>
    </row>
    <row r="13" spans="1:21" x14ac:dyDescent="0.3">
      <c r="A13" s="34"/>
      <c r="B13" s="35" t="s">
        <v>50</v>
      </c>
      <c r="C13" s="35"/>
      <c r="D13" s="13">
        <v>80000</v>
      </c>
      <c r="E13" s="14">
        <v>100000</v>
      </c>
      <c r="F13" s="59"/>
      <c r="G13" s="58"/>
      <c r="I13" s="34"/>
      <c r="J13" s="35"/>
      <c r="K13" s="35"/>
      <c r="L13" s="35" t="str">
        <f>B19</f>
        <v>Accounts payable</v>
      </c>
      <c r="M13" s="46"/>
      <c r="N13" s="47"/>
      <c r="O13" s="79"/>
      <c r="Q13" s="31"/>
      <c r="R13" s="31"/>
      <c r="S13" s="31"/>
      <c r="T13" s="31"/>
      <c r="U13" s="31"/>
    </row>
    <row r="14" spans="1:21" x14ac:dyDescent="0.3">
      <c r="A14" s="4"/>
      <c r="B14" s="5" t="s">
        <v>54</v>
      </c>
      <c r="C14" s="5"/>
      <c r="D14" s="13">
        <v>-619</v>
      </c>
      <c r="E14" s="14">
        <v>-18219</v>
      </c>
      <c r="F14" s="59"/>
      <c r="G14" s="58"/>
      <c r="I14" s="34"/>
      <c r="J14" s="35"/>
      <c r="K14" s="35"/>
      <c r="L14" s="35" t="str">
        <f>B21</f>
        <v>Accrued expenses</v>
      </c>
      <c r="M14" s="46"/>
      <c r="N14" s="47"/>
      <c r="O14" s="79"/>
      <c r="Q14" s="85" t="s">
        <v>100</v>
      </c>
      <c r="R14" s="64"/>
      <c r="S14" s="65"/>
      <c r="T14" s="64"/>
      <c r="U14" s="66"/>
    </row>
    <row r="15" spans="1:21" ht="16.2" thickBot="1" x14ac:dyDescent="0.35">
      <c r="A15" s="4" t="s">
        <v>8</v>
      </c>
      <c r="B15" s="5"/>
      <c r="C15" s="5"/>
      <c r="D15" s="17">
        <f>SUM(D12:D14)</f>
        <v>262870</v>
      </c>
      <c r="E15" s="18">
        <f>SUM(E12:E14)</f>
        <v>236227</v>
      </c>
      <c r="F15" s="59"/>
      <c r="G15" s="58"/>
      <c r="I15" s="34"/>
      <c r="J15" s="35"/>
      <c r="K15" s="35" t="s">
        <v>41</v>
      </c>
      <c r="L15" s="35"/>
      <c r="M15" s="46"/>
      <c r="N15" s="47"/>
      <c r="O15" s="79"/>
      <c r="Q15" s="107" t="s">
        <v>70</v>
      </c>
      <c r="R15" s="107"/>
      <c r="S15" s="107"/>
      <c r="T15" s="107"/>
    </row>
    <row r="16" spans="1:21" ht="16.2" thickTop="1" x14ac:dyDescent="0.3">
      <c r="A16" s="4"/>
      <c r="B16" s="5"/>
      <c r="C16" s="5"/>
      <c r="D16" s="11"/>
      <c r="E16" s="12"/>
      <c r="F16" s="59"/>
      <c r="G16" s="58"/>
      <c r="I16" s="34"/>
      <c r="J16" s="35"/>
      <c r="K16" s="35" t="str">
        <f>A44</f>
        <v>Interest income</v>
      </c>
      <c r="L16" s="35"/>
      <c r="M16" s="48"/>
      <c r="N16" s="47"/>
      <c r="O16" s="79"/>
      <c r="Q16" s="91"/>
      <c r="R16" s="93" t="s">
        <v>94</v>
      </c>
      <c r="S16" s="94" t="s">
        <v>95</v>
      </c>
      <c r="T16" s="93" t="s">
        <v>96</v>
      </c>
    </row>
    <row r="17" spans="1:21" x14ac:dyDescent="0.3">
      <c r="A17" s="4" t="s">
        <v>9</v>
      </c>
      <c r="B17" s="5"/>
      <c r="C17" s="5"/>
      <c r="D17" s="5"/>
      <c r="E17" s="10"/>
      <c r="F17" s="59"/>
      <c r="G17" s="58"/>
      <c r="I17" s="34"/>
      <c r="J17" s="35" t="s">
        <v>43</v>
      </c>
      <c r="K17" s="35"/>
      <c r="L17" s="35"/>
      <c r="M17" s="46">
        <f>SUM(M6:M16)</f>
        <v>0</v>
      </c>
      <c r="N17" s="47"/>
      <c r="O17" s="79"/>
      <c r="Q17" s="91" t="s">
        <v>97</v>
      </c>
      <c r="R17" s="94"/>
      <c r="S17" s="94"/>
      <c r="T17" s="93"/>
    </row>
    <row r="18" spans="1:21" ht="18" x14ac:dyDescent="0.3">
      <c r="A18" s="4" t="s">
        <v>10</v>
      </c>
      <c r="B18" s="5"/>
      <c r="C18" s="5"/>
      <c r="D18" s="5"/>
      <c r="E18" s="10"/>
      <c r="F18" s="59"/>
      <c r="G18" s="58"/>
      <c r="I18" s="34"/>
      <c r="J18" s="35" t="s">
        <v>63</v>
      </c>
      <c r="K18" s="35"/>
      <c r="L18" s="35"/>
      <c r="M18" s="46"/>
      <c r="N18" s="55" t="s">
        <v>76</v>
      </c>
      <c r="O18" s="79"/>
      <c r="P18" s="54"/>
      <c r="Q18" s="91" t="s">
        <v>105</v>
      </c>
      <c r="R18" s="93"/>
      <c r="S18" s="95"/>
      <c r="T18" s="93"/>
    </row>
    <row r="19" spans="1:21" ht="18" x14ac:dyDescent="0.3">
      <c r="A19" s="4"/>
      <c r="B19" s="5" t="s">
        <v>11</v>
      </c>
      <c r="C19" s="5"/>
      <c r="D19" s="19">
        <v>48005</v>
      </c>
      <c r="E19" s="20">
        <v>49803</v>
      </c>
      <c r="F19" s="59"/>
      <c r="G19" s="58"/>
      <c r="I19" s="34"/>
      <c r="J19" s="35" t="s">
        <v>47</v>
      </c>
      <c r="K19" s="36"/>
      <c r="L19" s="36"/>
      <c r="M19" s="48"/>
      <c r="N19" s="56" t="s">
        <v>77</v>
      </c>
      <c r="O19" s="79"/>
      <c r="Q19" s="92" t="s">
        <v>101</v>
      </c>
      <c r="R19" s="96"/>
      <c r="S19" s="97"/>
      <c r="T19" s="93"/>
    </row>
    <row r="20" spans="1:21" x14ac:dyDescent="0.3">
      <c r="A20" s="4"/>
      <c r="B20" s="5" t="s">
        <v>44</v>
      </c>
      <c r="C20" s="5"/>
      <c r="D20" s="23">
        <v>15000</v>
      </c>
      <c r="E20" s="25">
        <v>12000</v>
      </c>
      <c r="F20" s="59"/>
      <c r="G20" s="58"/>
      <c r="I20" s="34"/>
      <c r="J20" s="35" t="s">
        <v>46</v>
      </c>
      <c r="K20" s="35"/>
      <c r="L20" s="35"/>
      <c r="M20" s="46"/>
      <c r="N20" s="49">
        <f>M17+M18+M19</f>
        <v>0</v>
      </c>
      <c r="O20" s="80"/>
      <c r="Q20" s="91" t="s">
        <v>99</v>
      </c>
      <c r="R20" s="96"/>
      <c r="S20" s="94"/>
      <c r="T20" s="93"/>
    </row>
    <row r="21" spans="1:21" x14ac:dyDescent="0.3">
      <c r="A21" s="4"/>
      <c r="B21" s="5" t="s">
        <v>12</v>
      </c>
      <c r="C21" s="5"/>
      <c r="D21" s="21">
        <f>44403-D20</f>
        <v>29403</v>
      </c>
      <c r="E21" s="22">
        <f>41799-E20</f>
        <v>29799</v>
      </c>
      <c r="F21" s="59"/>
      <c r="G21" s="58"/>
      <c r="I21" s="34"/>
      <c r="J21" s="35"/>
      <c r="K21" s="35"/>
      <c r="L21" s="35"/>
      <c r="M21" s="46"/>
      <c r="N21" s="49"/>
      <c r="O21" s="80"/>
      <c r="Q21" s="31"/>
      <c r="R21" s="31"/>
      <c r="S21" s="31"/>
      <c r="T21" s="31"/>
      <c r="U21" s="31"/>
    </row>
    <row r="22" spans="1:21" x14ac:dyDescent="0.3">
      <c r="A22" s="4" t="s">
        <v>13</v>
      </c>
      <c r="B22" s="5"/>
      <c r="C22" s="5"/>
      <c r="D22" s="23">
        <f>SUM(D19:D21)</f>
        <v>92408</v>
      </c>
      <c r="E22" s="24">
        <f>SUM(E19:E21)</f>
        <v>91602</v>
      </c>
      <c r="F22" s="59"/>
      <c r="G22" s="58"/>
      <c r="I22" s="34" t="s">
        <v>48</v>
      </c>
      <c r="J22" s="35"/>
      <c r="K22" s="35"/>
      <c r="L22" s="35"/>
      <c r="M22" s="46"/>
      <c r="N22" s="49"/>
      <c r="O22" s="80"/>
      <c r="Q22" s="66"/>
      <c r="R22" s="66"/>
      <c r="S22" s="66"/>
      <c r="T22" s="66"/>
    </row>
    <row r="23" spans="1:21" ht="18" x14ac:dyDescent="0.3">
      <c r="A23" s="4" t="s">
        <v>15</v>
      </c>
      <c r="B23" s="5"/>
      <c r="C23" s="5"/>
      <c r="D23" s="5"/>
      <c r="E23" s="10"/>
      <c r="F23" s="59"/>
      <c r="G23" s="58"/>
      <c r="I23" s="34"/>
      <c r="J23" s="35" t="s">
        <v>55</v>
      </c>
      <c r="K23" s="35"/>
      <c r="L23" s="35"/>
      <c r="M23" s="46"/>
      <c r="N23" s="55" t="s">
        <v>90</v>
      </c>
      <c r="O23" s="79"/>
      <c r="Q23" s="86" t="s">
        <v>102</v>
      </c>
    </row>
    <row r="24" spans="1:21" ht="18" x14ac:dyDescent="0.3">
      <c r="A24" s="4"/>
      <c r="B24" s="5" t="s">
        <v>37</v>
      </c>
      <c r="C24" s="5"/>
      <c r="D24" s="23">
        <v>9803</v>
      </c>
      <c r="E24" s="25">
        <v>9158</v>
      </c>
      <c r="F24" s="59"/>
      <c r="G24" s="58"/>
      <c r="I24" s="34"/>
      <c r="J24" s="35" t="s">
        <v>56</v>
      </c>
      <c r="K24" s="35"/>
      <c r="L24" s="35"/>
      <c r="M24" s="48"/>
      <c r="N24" s="56" t="s">
        <v>90</v>
      </c>
      <c r="O24" s="79"/>
      <c r="Q24" s="104" t="s">
        <v>50</v>
      </c>
      <c r="R24" s="104"/>
      <c r="S24" s="104"/>
      <c r="T24" s="104"/>
    </row>
    <row r="25" spans="1:21" x14ac:dyDescent="0.3">
      <c r="A25" s="4"/>
      <c r="B25" s="5" t="s">
        <v>14</v>
      </c>
      <c r="C25" s="5"/>
      <c r="D25" s="26">
        <v>160659</v>
      </c>
      <c r="E25" s="27">
        <v>135467</v>
      </c>
      <c r="F25" s="59"/>
      <c r="G25" s="58"/>
      <c r="I25" s="34"/>
      <c r="J25" s="35" t="s">
        <v>57</v>
      </c>
      <c r="K25" s="35"/>
      <c r="L25" s="35"/>
      <c r="M25" s="46"/>
      <c r="N25" s="49">
        <f>M22+M23+M24</f>
        <v>0</v>
      </c>
      <c r="O25" s="80"/>
      <c r="Q25" s="91"/>
      <c r="R25" s="93" t="s">
        <v>94</v>
      </c>
      <c r="S25" s="94" t="s">
        <v>95</v>
      </c>
      <c r="T25" s="93" t="s">
        <v>96</v>
      </c>
    </row>
    <row r="26" spans="1:21" x14ac:dyDescent="0.3">
      <c r="A26" s="4" t="s">
        <v>16</v>
      </c>
      <c r="B26" s="5"/>
      <c r="C26" s="5"/>
      <c r="D26" s="23">
        <f>SUM(D24:D25)</f>
        <v>170462</v>
      </c>
      <c r="E26" s="25">
        <f>SUM(E24:E25)</f>
        <v>144625</v>
      </c>
      <c r="F26" s="59"/>
      <c r="G26" s="58"/>
      <c r="I26" s="34"/>
      <c r="J26" s="35"/>
      <c r="K26" s="35"/>
      <c r="L26" s="35"/>
      <c r="M26" s="46"/>
      <c r="N26" s="49"/>
      <c r="O26" s="80"/>
      <c r="Q26" s="91" t="s">
        <v>97</v>
      </c>
      <c r="R26" s="94"/>
      <c r="S26" s="94"/>
      <c r="T26" s="93"/>
    </row>
    <row r="27" spans="1:21" ht="16.2" thickBot="1" x14ac:dyDescent="0.35">
      <c r="A27" s="4" t="s">
        <v>17</v>
      </c>
      <c r="B27" s="5"/>
      <c r="C27" s="5"/>
      <c r="D27" s="28">
        <f>D22+D26</f>
        <v>262870</v>
      </c>
      <c r="E27" s="29">
        <f>E22+E26</f>
        <v>236227</v>
      </c>
      <c r="F27" s="59"/>
      <c r="G27" s="58"/>
      <c r="I27" s="34" t="s">
        <v>58</v>
      </c>
      <c r="J27" s="35"/>
      <c r="K27" s="35"/>
      <c r="L27" s="35"/>
      <c r="M27" s="46"/>
      <c r="N27" s="49"/>
      <c r="O27" s="80"/>
      <c r="Q27" s="92" t="s">
        <v>52</v>
      </c>
      <c r="R27" s="96"/>
      <c r="S27" s="95"/>
      <c r="T27" s="93"/>
    </row>
    <row r="28" spans="1:21" ht="19.2" thickTop="1" thickBot="1" x14ac:dyDescent="0.35">
      <c r="A28" s="41"/>
      <c r="B28" s="42"/>
      <c r="C28" s="42"/>
      <c r="D28" s="42"/>
      <c r="E28" s="43"/>
      <c r="F28" s="60"/>
      <c r="G28" s="61"/>
      <c r="I28" s="34"/>
      <c r="J28" s="35" t="s">
        <v>59</v>
      </c>
      <c r="K28" s="35"/>
      <c r="L28" s="35"/>
      <c r="M28" s="46"/>
      <c r="N28" s="55" t="s">
        <v>91</v>
      </c>
      <c r="O28" s="79"/>
      <c r="Q28" s="98" t="s">
        <v>53</v>
      </c>
      <c r="R28" s="99"/>
      <c r="S28" s="100"/>
      <c r="T28" s="93"/>
    </row>
    <row r="29" spans="1:21" ht="18" x14ac:dyDescent="0.3">
      <c r="D29" s="101"/>
      <c r="I29" s="34"/>
      <c r="J29" s="35" t="s">
        <v>65</v>
      </c>
      <c r="K29" s="35"/>
      <c r="L29" s="35"/>
      <c r="M29" s="48"/>
      <c r="N29" s="56" t="s">
        <v>92</v>
      </c>
      <c r="O29" s="79"/>
      <c r="Q29" s="91" t="s">
        <v>99</v>
      </c>
      <c r="R29" s="96"/>
      <c r="S29" s="94"/>
      <c r="T29" s="93"/>
    </row>
    <row r="30" spans="1:21" ht="16.2" thickBot="1" x14ac:dyDescent="0.35">
      <c r="A30" s="44"/>
      <c r="B30" s="44"/>
      <c r="C30" s="44"/>
      <c r="D30" s="44"/>
      <c r="I30" s="34"/>
      <c r="J30" s="35" t="s">
        <v>60</v>
      </c>
      <c r="K30" s="35"/>
      <c r="L30" s="35"/>
      <c r="M30" s="46"/>
      <c r="N30" s="49">
        <f>SUM(M28:M29)</f>
        <v>0</v>
      </c>
      <c r="O30" s="79"/>
      <c r="Q30" s="104" t="s">
        <v>51</v>
      </c>
      <c r="R30" s="104"/>
      <c r="S30" s="104"/>
      <c r="T30" s="104"/>
    </row>
    <row r="31" spans="1:21" x14ac:dyDescent="0.3">
      <c r="A31" s="111" t="str">
        <f>A1</f>
        <v>Rizz Tea Company</v>
      </c>
      <c r="B31" s="112"/>
      <c r="C31" s="112"/>
      <c r="D31" s="113"/>
      <c r="I31" s="34"/>
      <c r="J31" s="35"/>
      <c r="K31" s="35"/>
      <c r="L31" s="35"/>
      <c r="M31" s="48"/>
      <c r="N31" s="50"/>
      <c r="O31" s="80"/>
      <c r="Q31" s="91"/>
      <c r="R31" s="93" t="s">
        <v>94</v>
      </c>
      <c r="S31" s="94" t="s">
        <v>95</v>
      </c>
      <c r="T31" s="93" t="s">
        <v>96</v>
      </c>
    </row>
    <row r="32" spans="1:21" x14ac:dyDescent="0.3">
      <c r="A32" s="108" t="s">
        <v>108</v>
      </c>
      <c r="B32" s="109"/>
      <c r="C32" s="109"/>
      <c r="D32" s="110"/>
      <c r="I32" s="34" t="s">
        <v>61</v>
      </c>
      <c r="J32" s="35"/>
      <c r="K32" s="35"/>
      <c r="L32" s="35"/>
      <c r="M32" s="46"/>
      <c r="N32" s="49">
        <f>N20+N25+N30</f>
        <v>0</v>
      </c>
      <c r="O32" s="80"/>
      <c r="Q32" s="91" t="s">
        <v>97</v>
      </c>
      <c r="R32" s="94"/>
      <c r="S32" s="94"/>
      <c r="T32" s="93"/>
    </row>
    <row r="33" spans="1:20" x14ac:dyDescent="0.3">
      <c r="A33" s="108" t="s">
        <v>114</v>
      </c>
      <c r="B33" s="109"/>
      <c r="C33" s="109"/>
      <c r="D33" s="110"/>
      <c r="I33" s="34" t="s">
        <v>62</v>
      </c>
      <c r="J33" s="35"/>
      <c r="K33" s="35"/>
      <c r="L33" s="35"/>
      <c r="M33" s="46"/>
      <c r="N33" s="49">
        <f>E7</f>
        <v>54497</v>
      </c>
      <c r="O33" s="80"/>
      <c r="Q33" s="91" t="s">
        <v>106</v>
      </c>
      <c r="R33" s="93"/>
      <c r="S33" s="99"/>
      <c r="T33" s="93"/>
    </row>
    <row r="34" spans="1:20" ht="16.2" thickBot="1" x14ac:dyDescent="0.35">
      <c r="A34" s="30"/>
      <c r="B34" s="39"/>
      <c r="C34" s="39"/>
      <c r="D34" s="32" t="s">
        <v>110</v>
      </c>
      <c r="I34" s="34" t="s">
        <v>75</v>
      </c>
      <c r="J34" s="35"/>
      <c r="K34" s="35"/>
      <c r="L34" s="35"/>
      <c r="M34" s="51"/>
      <c r="N34" s="52">
        <f>SUM(N32:N33)</f>
        <v>54497</v>
      </c>
      <c r="O34" s="80"/>
      <c r="Q34" s="98" t="s">
        <v>53</v>
      </c>
      <c r="R34" s="99"/>
      <c r="S34" s="100"/>
      <c r="T34" s="93"/>
    </row>
    <row r="35" spans="1:20" ht="16.8" thickTop="1" thickBot="1" x14ac:dyDescent="0.35">
      <c r="A35" s="4" t="s">
        <v>24</v>
      </c>
      <c r="B35" s="5"/>
      <c r="C35" s="5"/>
      <c r="D35" s="20">
        <f>575177+2500+8000</f>
        <v>585677</v>
      </c>
      <c r="I35" s="41"/>
      <c r="J35" s="42"/>
      <c r="K35" s="42"/>
      <c r="L35" s="42"/>
      <c r="M35" s="42"/>
      <c r="N35" s="43"/>
      <c r="O35" s="80"/>
      <c r="Q35" s="91" t="s">
        <v>99</v>
      </c>
      <c r="R35" s="96"/>
      <c r="S35" s="94"/>
      <c r="T35" s="93"/>
    </row>
    <row r="36" spans="1:20" x14ac:dyDescent="0.3">
      <c r="A36" s="4" t="s">
        <v>25</v>
      </c>
      <c r="B36" s="5"/>
      <c r="C36" s="5"/>
      <c r="D36" s="16">
        <v>-405322</v>
      </c>
      <c r="M36" s="102" t="s">
        <v>118</v>
      </c>
      <c r="N36" s="103">
        <f>N34-D7</f>
        <v>-29643</v>
      </c>
    </row>
    <row r="37" spans="1:20" x14ac:dyDescent="0.3">
      <c r="A37" s="4" t="s">
        <v>26</v>
      </c>
      <c r="B37" s="5"/>
      <c r="C37" s="5"/>
      <c r="D37" s="14">
        <f>SUM(D35:D36)</f>
        <v>180355</v>
      </c>
      <c r="Q37" s="45" t="s">
        <v>107</v>
      </c>
      <c r="R37" s="87"/>
      <c r="S37" s="87"/>
      <c r="T37" s="87">
        <f>D43</f>
        <v>-2500</v>
      </c>
    </row>
    <row r="38" spans="1:20" x14ac:dyDescent="0.3">
      <c r="A38" s="4" t="s">
        <v>27</v>
      </c>
      <c r="B38" s="5"/>
      <c r="C38" s="5"/>
      <c r="D38" s="14"/>
      <c r="Q38" s="45" t="s">
        <v>80</v>
      </c>
      <c r="R38" s="87"/>
      <c r="S38" s="87">
        <f>S28</f>
        <v>0</v>
      </c>
      <c r="T38" s="87"/>
    </row>
    <row r="39" spans="1:20" x14ac:dyDescent="0.3">
      <c r="A39" s="33" t="s">
        <v>28</v>
      </c>
      <c r="B39" s="5"/>
      <c r="C39" s="5"/>
      <c r="D39" s="14">
        <v>-123027</v>
      </c>
      <c r="Q39" s="45" t="s">
        <v>81</v>
      </c>
      <c r="R39" s="87"/>
      <c r="S39" s="81">
        <f>-R34</f>
        <v>0</v>
      </c>
      <c r="T39" s="81"/>
    </row>
    <row r="40" spans="1:20" x14ac:dyDescent="0.3">
      <c r="A40" s="33" t="s">
        <v>49</v>
      </c>
      <c r="B40" s="5"/>
      <c r="C40" s="5"/>
      <c r="D40" s="16">
        <v>-8891</v>
      </c>
      <c r="Q40" s="45" t="s">
        <v>82</v>
      </c>
      <c r="R40" s="87"/>
      <c r="S40" s="87"/>
      <c r="T40" s="87">
        <f>SUM(S38:S39)</f>
        <v>0</v>
      </c>
    </row>
    <row r="41" spans="1:20" ht="16.2" thickBot="1" x14ac:dyDescent="0.35">
      <c r="A41" s="4" t="s">
        <v>29</v>
      </c>
      <c r="B41" s="5"/>
      <c r="C41" s="5"/>
      <c r="D41" s="89">
        <f>D39+D40</f>
        <v>-131918</v>
      </c>
      <c r="Q41" s="82" t="s">
        <v>83</v>
      </c>
      <c r="R41" s="88"/>
      <c r="S41" s="88"/>
      <c r="T41" s="83">
        <f>SUM(T37:T40)</f>
        <v>-2500</v>
      </c>
    </row>
    <row r="42" spans="1:20" ht="16.2" thickTop="1" x14ac:dyDescent="0.3">
      <c r="A42" s="4" t="s">
        <v>30</v>
      </c>
      <c r="B42" s="5"/>
      <c r="C42" s="5"/>
      <c r="D42" s="14">
        <f>D37+D41</f>
        <v>48437</v>
      </c>
    </row>
    <row r="43" spans="1:20" x14ac:dyDescent="0.3">
      <c r="A43" s="33" t="s">
        <v>40</v>
      </c>
      <c r="B43" s="5"/>
      <c r="C43" s="5"/>
      <c r="D43" s="14">
        <v>-2500</v>
      </c>
      <c r="Q43" s="86" t="s">
        <v>84</v>
      </c>
    </row>
    <row r="44" spans="1:20" x14ac:dyDescent="0.3">
      <c r="A44" s="33" t="s">
        <v>31</v>
      </c>
      <c r="B44" s="5"/>
      <c r="C44" s="5"/>
      <c r="D44" s="16">
        <v>860</v>
      </c>
      <c r="Q44" s="104" t="str">
        <f>B24</f>
        <v>Share Capital</v>
      </c>
      <c r="R44" s="104"/>
      <c r="S44" s="104"/>
      <c r="T44" s="104"/>
    </row>
    <row r="45" spans="1:20" x14ac:dyDescent="0.3">
      <c r="A45" s="4" t="s">
        <v>33</v>
      </c>
      <c r="B45" s="5"/>
      <c r="C45" s="5"/>
      <c r="D45" s="14">
        <f>SUM(D42:D44)</f>
        <v>46797</v>
      </c>
      <c r="Q45" s="91"/>
      <c r="R45" s="93" t="s">
        <v>94</v>
      </c>
      <c r="S45" s="94" t="s">
        <v>95</v>
      </c>
      <c r="T45" s="93" t="s">
        <v>96</v>
      </c>
    </row>
    <row r="46" spans="1:20" x14ac:dyDescent="0.3">
      <c r="A46" s="33" t="s">
        <v>34</v>
      </c>
      <c r="B46" s="5"/>
      <c r="C46" s="5"/>
      <c r="D46" s="16">
        <v>-14055</v>
      </c>
      <c r="Q46" s="91" t="s">
        <v>97</v>
      </c>
      <c r="R46" s="94"/>
      <c r="S46" s="94"/>
      <c r="T46" s="93"/>
    </row>
    <row r="47" spans="1:20" ht="16.2" thickBot="1" x14ac:dyDescent="0.35">
      <c r="A47" s="4" t="s">
        <v>32</v>
      </c>
      <c r="B47" s="5"/>
      <c r="C47" s="5"/>
      <c r="D47" s="90">
        <f>SUM(D45:D46)</f>
        <v>32742</v>
      </c>
      <c r="E47" s="80"/>
      <c r="Q47" s="92" t="s">
        <v>103</v>
      </c>
      <c r="R47" s="96"/>
      <c r="S47" s="96"/>
      <c r="T47" s="93"/>
    </row>
    <row r="48" spans="1:20" ht="16.8" thickTop="1" thickBot="1" x14ac:dyDescent="0.35">
      <c r="A48" s="41"/>
      <c r="B48" s="42"/>
      <c r="C48" s="42"/>
      <c r="D48" s="43"/>
      <c r="Q48" s="91" t="s">
        <v>99</v>
      </c>
      <c r="R48" s="96"/>
      <c r="S48" s="94"/>
      <c r="T48" s="93"/>
    </row>
    <row r="50" spans="1:20" x14ac:dyDescent="0.3">
      <c r="A50" s="62" t="s">
        <v>79</v>
      </c>
      <c r="Q50" s="86" t="s">
        <v>87</v>
      </c>
    </row>
    <row r="51" spans="1:20" x14ac:dyDescent="0.3">
      <c r="A51" s="63" t="s">
        <v>116</v>
      </c>
      <c r="Q51" s="104" t="str">
        <f>B25</f>
        <v>Retained earnings</v>
      </c>
      <c r="R51" s="104"/>
      <c r="S51" s="104"/>
      <c r="T51" s="104"/>
    </row>
    <row r="52" spans="1:20" x14ac:dyDescent="0.3">
      <c r="A52" s="63" t="s">
        <v>117</v>
      </c>
      <c r="Q52" s="91"/>
      <c r="R52" s="93" t="s">
        <v>94</v>
      </c>
      <c r="S52" s="94" t="s">
        <v>95</v>
      </c>
      <c r="T52" s="93" t="s">
        <v>96</v>
      </c>
    </row>
    <row r="53" spans="1:20" x14ac:dyDescent="0.3">
      <c r="A53" s="63" t="s">
        <v>85</v>
      </c>
      <c r="Q53" s="91" t="s">
        <v>97</v>
      </c>
      <c r="R53" s="94"/>
      <c r="S53" s="94"/>
      <c r="T53" s="93"/>
    </row>
    <row r="54" spans="1:20" x14ac:dyDescent="0.3">
      <c r="A54" s="63" t="s">
        <v>86</v>
      </c>
      <c r="Q54" s="91" t="s">
        <v>88</v>
      </c>
      <c r="R54" s="94"/>
      <c r="S54" s="95"/>
      <c r="T54" s="93"/>
    </row>
    <row r="55" spans="1:20" x14ac:dyDescent="0.3">
      <c r="Q55" s="92" t="s">
        <v>89</v>
      </c>
      <c r="R55" s="96"/>
      <c r="S55" s="96"/>
      <c r="T55" s="93"/>
    </row>
    <row r="56" spans="1:20" x14ac:dyDescent="0.3">
      <c r="Q56" s="91" t="s">
        <v>99</v>
      </c>
      <c r="R56" s="96"/>
      <c r="S56" s="94"/>
      <c r="T56" s="93"/>
    </row>
  </sheetData>
  <mergeCells count="19">
    <mergeCell ref="A3:E3"/>
    <mergeCell ref="F3:F4"/>
    <mergeCell ref="G3:G4"/>
    <mergeCell ref="I3:N3"/>
    <mergeCell ref="A1:E1"/>
    <mergeCell ref="F1:G2"/>
    <mergeCell ref="I1:N1"/>
    <mergeCell ref="A2:E2"/>
    <mergeCell ref="I2:N2"/>
    <mergeCell ref="Q5:T5"/>
    <mergeCell ref="Q7:T7"/>
    <mergeCell ref="Q15:T15"/>
    <mergeCell ref="Q24:T24"/>
    <mergeCell ref="Q30:T30"/>
    <mergeCell ref="A31:D31"/>
    <mergeCell ref="A32:D32"/>
    <mergeCell ref="A33:D33"/>
    <mergeCell ref="Q44:T44"/>
    <mergeCell ref="Q51:T51"/>
  </mergeCells>
  <pageMargins left="0.7" right="0.7" top="0.75" bottom="0.75" header="0.3" footer="0.3"/>
  <pageSetup paperSize="9" orientation="portrait" r:id="rId1"/>
  <ignoredErrors>
    <ignoredError sqref="D4:E4 D3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3cfe13-88a2-4d8a-921a-26acc93ffab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16FBF6E6E37447827B60E0C4C792C8" ma:contentTypeVersion="17" ma:contentTypeDescription="Create a new document." ma:contentTypeScope="" ma:versionID="d588dcf67b244dd3df66f1517023c7f9">
  <xsd:schema xmlns:xsd="http://www.w3.org/2001/XMLSchema" xmlns:xs="http://www.w3.org/2001/XMLSchema" xmlns:p="http://schemas.microsoft.com/office/2006/metadata/properties" xmlns:ns3="a53cfe13-88a2-4d8a-921a-26acc93ffab7" xmlns:ns4="e3370fb0-917d-486d-8ec5-33c5248dbdec" targetNamespace="http://schemas.microsoft.com/office/2006/metadata/properties" ma:root="true" ma:fieldsID="be16d71da668cd0e58e47e522dece076" ns3:_="" ns4:_="">
    <xsd:import namespace="a53cfe13-88a2-4d8a-921a-26acc93ffab7"/>
    <xsd:import namespace="e3370fb0-917d-486d-8ec5-33c5248dbd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cfe13-88a2-4d8a-921a-26acc93ff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0fb0-917d-486d-8ec5-33c5248dbde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F5356B-4990-4EC8-82FE-7C770A9D5326}">
  <ds:schemaRefs>
    <ds:schemaRef ds:uri="a53cfe13-88a2-4d8a-921a-26acc93ffab7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e3370fb0-917d-486d-8ec5-33c5248dbdec"/>
    <ds:schemaRef ds:uri="http://purl.org/dc/dcmitype/"/>
    <ds:schemaRef ds:uri="http://purl.org/dc/elements/1.1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6EF8B7-F24A-4BA5-9C27-5B7C060757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8D0F52-711C-4458-A168-0A21E3CCF6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3cfe13-88a2-4d8a-921a-26acc93ffab7"/>
    <ds:schemaRef ds:uri="e3370fb0-917d-486d-8ec5-33c5248dbd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Rizz Tea Solution</vt:lpstr>
      <vt:lpstr>Rizz Tea 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Hanny Kusnadi</dc:creator>
  <cp:lastModifiedBy>Hanny Kusnadi</cp:lastModifiedBy>
  <dcterms:created xsi:type="dcterms:W3CDTF">2021-03-26T07:50:01Z</dcterms:created>
  <dcterms:modified xsi:type="dcterms:W3CDTF">2025-11-04T11:22:11Z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0x0101001916FBF6E6E37447827B60E0C4C792C8</vt:lpwstr>
  </property>
</Properties>
</file>